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mc:AlternateContent xmlns:mc="http://schemas.openxmlformats.org/markup-compatibility/2006">
    <mc:Choice Requires="x15">
      <x15ac:absPath xmlns:x15ac="http://schemas.microsoft.com/office/spreadsheetml/2010/11/ac" url="https://infaworxdatamanagementservi.sharepoint.com/sites/UniShare/Shared Documents/Projects/Qatar/NPC/Compliance/"/>
    </mc:Choice>
  </mc:AlternateContent>
  <xr:revisionPtr revIDLastSave="0" documentId="8_{B654361F-C4DD-41D3-B21A-81807CCD70E0}" xr6:coauthVersionLast="47" xr6:coauthVersionMax="47" xr10:uidLastSave="{00000000-0000-0000-0000-000000000000}"/>
  <bookViews>
    <workbookView xWindow="7470" yWindow="5115" windowWidth="21600" windowHeight="12645" tabRatio="854" firstSheet="15" activeTab="15" xr2:uid="{40C02595-C087-4ECA-97A8-E041E1C86977}"/>
  </bookViews>
  <sheets>
    <sheet name="Cover Page" sheetId="16" r:id="rId1"/>
    <sheet name="Document Purpose &amp; Scope" sheetId="17" r:id="rId2"/>
    <sheet name="Version Control" sheetId="18" r:id="rId3"/>
    <sheet name="New Approach" sheetId="19" r:id="rId4"/>
    <sheet name="Data Mgmt Strategy &amp; Governance" sheetId="2" r:id="rId5"/>
    <sheet name="Data Quality Management" sheetId="5" r:id="rId6"/>
    <sheet name="Data Architecture &amp; Modeling" sheetId="6" r:id="rId7"/>
    <sheet name="Master &amp; Ref. Data Management" sheetId="7" r:id="rId8"/>
    <sheet name="Data Sec., Priv. &amp; Other Reg." sheetId="9" r:id="rId9"/>
    <sheet name="Data Catalog &amp; Metadata Mgmt." sheetId="8" r:id="rId10"/>
    <sheet name="Data Storage &amp; Operations" sheetId="10" r:id="rId11"/>
    <sheet name="Statistics &amp; Analytics" sheetId="11" r:id="rId12"/>
    <sheet name="Data Culture &amp; Literacy" sheetId="13" r:id="rId13"/>
    <sheet name="Document &amp; Content Management" sheetId="14" r:id="rId14"/>
    <sheet name="Data Monetization" sheetId="12" r:id="rId15"/>
    <sheet name="Data Sharing,Integ.&amp;Interop." sheetId="15" r:id="rId16"/>
  </sheets>
  <externalReferences>
    <externalReference r:id="rId17"/>
  </externalReferences>
  <definedNames>
    <definedName name="_xlnm._FilterDatabase" localSheetId="6" hidden="1">'Data Architecture &amp; Modeling'!$A$2:$G$2</definedName>
    <definedName name="_xlnm._FilterDatabase" localSheetId="9" hidden="1">'Data Catalog &amp; Metadata Mgmt.'!$A$2:$G$2</definedName>
    <definedName name="_xlnm._FilterDatabase" localSheetId="12" hidden="1">'Data Culture &amp; Literacy'!$A$1:$G$1</definedName>
    <definedName name="_xlnm._FilterDatabase" localSheetId="4" hidden="1">'Data Mgmt Strategy &amp; Governance'!$A$1:$G$17</definedName>
    <definedName name="_xlnm._FilterDatabase" localSheetId="14" hidden="1">'Data Monetization'!$A$2:$G$2</definedName>
    <definedName name="_xlnm._FilterDatabase" localSheetId="5" hidden="1">'Data Quality Management'!$A$2:$G$2</definedName>
    <definedName name="_xlnm._FilterDatabase" localSheetId="8" hidden="1">'Data Sec., Priv. &amp; Other Reg.'!$A$2:$G$2</definedName>
    <definedName name="_xlnm._FilterDatabase" localSheetId="15" hidden="1">'Data Sharing,Integ.&amp;Interop.'!$A$2:$G$2</definedName>
    <definedName name="_xlnm._FilterDatabase" localSheetId="10" hidden="1">'Data Storage &amp; Operations'!$A$2:$G$2</definedName>
    <definedName name="_xlnm._FilterDatabase" localSheetId="13" hidden="1">'Document &amp; Content Management'!$A$1:$G$1</definedName>
    <definedName name="_xlnm._FilterDatabase" localSheetId="7" hidden="1">'Master &amp; Ref. Data Management'!$A$2:$G$2</definedName>
    <definedName name="_xlnm._FilterDatabase" localSheetId="11" hidden="1">'Statistics &amp; Analytics'!$A$1:$G$1</definedName>
    <definedName name="Importance">#REF!</definedName>
    <definedName name="Results">'[1]1. DMSG'!#REF!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 i="15" l="1"/>
  <c r="F1" i="6"/>
  <c r="F1" i="8"/>
  <c r="F1" i="7"/>
  <c r="F1" i="5"/>
  <c r="A40" i="17"/>
  <c r="A38" i="17"/>
  <c r="A39" i="17"/>
  <c r="A37" i="17"/>
  <c r="A31" i="17"/>
  <c r="A24" i="17"/>
  <c r="A21" i="17"/>
  <c r="A22" i="17"/>
  <c r="A23" i="17"/>
  <c r="A25" i="17"/>
  <c r="A26" i="17"/>
  <c r="A27" i="17"/>
  <c r="A28" i="17"/>
  <c r="A29" i="17"/>
  <c r="A30" i="17"/>
  <c r="A20"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tc={FA100DAC-D5C0-456E-B688-F8CAE9D76BE8}</author>
  </authors>
  <commentList>
    <comment ref="F5" authorId="0" shapeId="0" xr:uid="{FA100DAC-D5C0-456E-B688-F8CAE9D76BE8}">
      <text>
        <t>[Threaded comment]
Your version of Excel allows you to read this threaded comment; however, any edits to it will get removed if the file is opened in a newer version of Excel. Learn more: https://go.microsoft.com/fwlink/?linkid=870924
Comment:
    Please confirm DSII</t>
      </text>
    </comment>
  </commentList>
</comments>
</file>

<file path=xl/sharedStrings.xml><?xml version="1.0" encoding="utf-8"?>
<sst xmlns="http://schemas.openxmlformats.org/spreadsheetml/2006/main" count="1930" uniqueCount="1053">
  <si>
    <t>Data Regulations Compliance (QDRC)</t>
  </si>
  <si>
    <t>Data Regulations Compliance Questionnaire</t>
  </si>
  <si>
    <t xml:space="preserve">Document Purpose &amp; Scope </t>
  </si>
  <si>
    <t>Version Control</t>
  </si>
  <si>
    <t>Purpose &amp; Scope</t>
  </si>
  <si>
    <t>This Compliance Questionnaire provides entities with a structured framework to assess their alignment with national data management standards across key domains. It supports the evaluation of maturity and implementation progress by validating the existence and effectiveness of required policies, processes, systems, and supporting evidence—enabling entities to identify gaps and track overall readiness</t>
  </si>
  <si>
    <t>This template covers the following data domains: Data Management Strategy &amp; Governance, Data Quality, Data Architecture &amp; Modeling, Master &amp; Reference Data Management, Data Security, Data Cataloging, Data Storage, Statistics &amp; Analytics, Data Monetization, Document &amp; Content Management, Data Literacy, and Data Sharing.
For each domain, evidence is gathered to assess alignment with national data management standards. The evidence is then classified into five sensitivity levels: C0, C1, C2, C3, and C4—based on its confidentiality and handling requirements</t>
  </si>
  <si>
    <t>Cover Page</t>
  </si>
  <si>
    <t>Data Domains</t>
  </si>
  <si>
    <t>#</t>
  </si>
  <si>
    <t>Domain</t>
  </si>
  <si>
    <t>Description</t>
  </si>
  <si>
    <t>Link</t>
  </si>
  <si>
    <t>Data Management Strategy &amp; Governance</t>
  </si>
  <si>
    <t>Defines the overarching policies, roles, and frameworks that guide how data is managed and governed within the entity</t>
  </si>
  <si>
    <t>Data Mgmt Strategy &amp; Governance</t>
  </si>
  <si>
    <t>Data Quality</t>
  </si>
  <si>
    <t>Focuses on ensuring data is accurate, complete, consistent, timely, and fit for purpose through defined rules, tools, and monitoring</t>
  </si>
  <si>
    <t>Data Quality Management'</t>
  </si>
  <si>
    <t>Data Architecture &amp; Modeling</t>
  </si>
  <si>
    <t>Covers the structure and design of data systems, including conceptual, logical, and physical data models and how data flows across the organization</t>
  </si>
  <si>
    <t>Data Architecture &amp; Modeling'</t>
  </si>
  <si>
    <t>Master &amp; Reference Data Management</t>
  </si>
  <si>
    <t>Covers the identification, standardization, and consistent management of core data entities and reference values across systems to ensure accuracy, consistency, and control</t>
  </si>
  <si>
    <t>Master &amp; Ref. Data Management'</t>
  </si>
  <si>
    <t>/</t>
  </si>
  <si>
    <t>Data Security</t>
  </si>
  <si>
    <t>Ensures that data is protected from unauthorized access, breaches, and misuse through proper access controls, backup, and recovery processes</t>
  </si>
  <si>
    <t>Data Sec., Priv. &amp; Other Reg.</t>
  </si>
  <si>
    <t>Data Catalog &amp; Metadata Management</t>
  </si>
  <si>
    <t>Involves maintaining an inventory of data assets and their metadata to support data discovery, lineage, classification, and standardization</t>
  </si>
  <si>
    <t>Data Catalog &amp; Metadata Mgmt.'</t>
  </si>
  <si>
    <t>Data Storage &amp; Operations</t>
  </si>
  <si>
    <t>Addresses the policies, infrastructure, and operational processes required to store, retain, and manage data efficiently and securely</t>
  </si>
  <si>
    <t>Data Storage &amp; Operations'</t>
  </si>
  <si>
    <t>Statistics &amp; Analytics</t>
  </si>
  <si>
    <t>Covers the identification, development, and use of statistical indicators and analytics use cases to support data-driven decision-making</t>
  </si>
  <si>
    <t>Data Monetization</t>
  </si>
  <si>
    <t>Focuses on creating value from data assets through data products, pricing models, and go-to-market strategies, including internal or external reuse</t>
  </si>
  <si>
    <t>Document &amp; Content Management</t>
  </si>
  <si>
    <t>Deals with the governance, storage, and lifecycle of unstructured content such as documents, media, and records</t>
  </si>
  <si>
    <t>Document &amp; Content Management'</t>
  </si>
  <si>
    <t>Data Culture &amp; Literacy</t>
  </si>
  <si>
    <t>Aims to assess and improve staff skills, awareness, and engagement in using and managing data effectively</t>
  </si>
  <si>
    <t>Data Sharing, Integration &amp; Interoperability</t>
  </si>
  <si>
    <t>Covers the policies, systems, and processes that enable seamless, secure, and standards-based data exchange within and across entities</t>
  </si>
  <si>
    <t>Data Sharing,Integ.&amp;Interop.</t>
  </si>
  <si>
    <t>Classification Levels</t>
  </si>
  <si>
    <t>Level</t>
  </si>
  <si>
    <t>C0: Public</t>
  </si>
  <si>
    <t>Freely available; intended for public distribution without restriction</t>
  </si>
  <si>
    <t xml:space="preserve">C1: Internal </t>
  </si>
  <si>
    <t>For use within the organization; not harmful if disclosed but not intended for public</t>
  </si>
  <si>
    <t>C2: Limited Access</t>
  </si>
  <si>
    <t>Shared only with specific partners or stakeholders under controlled circumstances</t>
  </si>
  <si>
    <t>C3: Restricted</t>
  </si>
  <si>
    <t>Sensitive information requiring access control; unauthorized disclosure may cause harm</t>
  </si>
  <si>
    <t>C4:National Security / Confidential</t>
  </si>
  <si>
    <t>Highly sensitive; unauthorized disclosure poses serious risks to national interests</t>
  </si>
  <si>
    <t>Version</t>
  </si>
  <si>
    <t>Date</t>
  </si>
  <si>
    <t>V0.1</t>
  </si>
  <si>
    <t>No. of Controls</t>
  </si>
  <si>
    <t>Approach</t>
  </si>
  <si>
    <t>Data Strategy Current State &amp; Future State</t>
  </si>
  <si>
    <t>Document uploaded by entity, AI Agent to extract relevant information, match it to the inputs and document to be scored for matching the checklist</t>
  </si>
  <si>
    <t>Legend</t>
  </si>
  <si>
    <t>Governance Activation, Change &amp; Performance Management, Data Management Strategy &amp; Governance Policy Refresh</t>
  </si>
  <si>
    <t>Automated through AI Agents</t>
  </si>
  <si>
    <t>Automated with IDMC</t>
  </si>
  <si>
    <t>Extracted from IDMC API &amp; input into compliance database for central tracking</t>
  </si>
  <si>
    <t>Automated through IDMC</t>
  </si>
  <si>
    <t>Manual</t>
  </si>
  <si>
    <t>Data Quality Management</t>
  </si>
  <si>
    <t>Data Quality Policy</t>
  </si>
  <si>
    <t>Total Documents</t>
  </si>
  <si>
    <t>Master &amp; Ref Data Management</t>
  </si>
  <si>
    <t>Data, Sec, Priv &amp; Other Regulations</t>
  </si>
  <si>
    <t>Data Catalog &amp; Metadata Mgmt</t>
  </si>
  <si>
    <t xml:space="preserve">Data Catalog &amp; Metadata Management Policy </t>
  </si>
  <si>
    <t>Data Storage Baseline, Operations, Policies, &amp; Documentation</t>
  </si>
  <si>
    <t>Statistics &amp; Analytics Planning</t>
  </si>
  <si>
    <t>Statistics &amp; Analytics Design</t>
  </si>
  <si>
    <t>Statistics &amp; Analytics Implementation &amp; Operation</t>
  </si>
  <si>
    <t>Data Monetization Roadmap</t>
  </si>
  <si>
    <t>Data culture Program Design</t>
  </si>
  <si>
    <t>Performance &amp; Change Management</t>
  </si>
  <si>
    <t>Policy Creation, Publication &amp; Plan</t>
  </si>
  <si>
    <t>Workflow &amp; Architecture</t>
  </si>
  <si>
    <t>Policies, SLAs, Audit, &amp; KPIs</t>
  </si>
  <si>
    <t>Data Sharing, Integration, &amp; Interop</t>
  </si>
  <si>
    <t>Control Number</t>
  </si>
  <si>
    <t>Control Name</t>
  </si>
  <si>
    <t>Specification Number</t>
  </si>
  <si>
    <t>Specification Name</t>
  </si>
  <si>
    <t>Compliance Questions</t>
  </si>
  <si>
    <t>Acceptance Evidence</t>
  </si>
  <si>
    <t>Specification Level</t>
  </si>
  <si>
    <t>Evidence Document Security Classification</t>
  </si>
  <si>
    <t xml:space="preserve">Sub-Specifications </t>
  </si>
  <si>
    <t>AI Document Intelligence?</t>
  </si>
  <si>
    <t>IDMC Integration?</t>
  </si>
  <si>
    <t>IDMC API Response</t>
  </si>
  <si>
    <t>Comments</t>
  </si>
  <si>
    <t>DMSG.1.1</t>
  </si>
  <si>
    <t xml:space="preserve"> Data Strategy Current State</t>
  </si>
  <si>
    <t>DMSG.1.1.1</t>
  </si>
  <si>
    <t>Business Objectives &amp; Requirements</t>
  </si>
  <si>
    <t>Has the entity identified and documented its business objectives and requirements, including a comprehensive use case library and prioritized use case charters, in alignment with national business objectives and requirement templates?
هل قامت الجهة بتحديد وتوثيق أهدافها ومتطلبات أعمالها، بما في ذلك مكتبة شاملة لحالات الاستخدام ومواثيق حالات الاستخدام ذات الأولوية، بما يتماشى مع أهداف الأعمال الوطنية ونماذج المتطلبات؟</t>
  </si>
  <si>
    <t>Business Objectives document
Analytics Use Cases Library document
Analytics Use Cases Charters 
وثيقة أهداف العمل
وثيقة مكتبة حالات استخدام التحليلات
ميثاق حالات استخدام التحليلات</t>
  </si>
  <si>
    <t>Foundational</t>
  </si>
  <si>
    <t>C1: Internal
C2: Limited Access
C2: Limited Access</t>
  </si>
  <si>
    <r>
      <rPr>
        <sz val="11"/>
        <color rgb="FF000000"/>
        <rFont val="Aptos Narrow"/>
        <scheme val="minor"/>
      </rPr>
      <t xml:space="preserve">The Entity shall review and align with its business objectives and perform, at a minimum:
</t>
    </r>
    <r>
      <rPr>
        <b/>
        <sz val="11"/>
        <color rgb="FF000000"/>
        <rFont val="Aptos Narrow"/>
        <scheme val="minor"/>
      </rPr>
      <t xml:space="preserve">SS1. </t>
    </r>
    <r>
      <rPr>
        <sz val="11"/>
        <color rgb="FF000000"/>
        <rFont val="Aptos Narrow"/>
        <scheme val="minor"/>
      </rPr>
      <t xml:space="preserve">Identify the stakeholder map needed to establish the data strategy, including both business and technical stakeholders, and engage with them to document their requirements and priorities
</t>
    </r>
    <r>
      <rPr>
        <b/>
        <sz val="11"/>
        <color rgb="FF000000"/>
        <rFont val="Aptos Narrow"/>
        <scheme val="minor"/>
      </rPr>
      <t>SS2</t>
    </r>
    <r>
      <rPr>
        <sz val="11"/>
        <color rgb="FF000000"/>
        <rFont val="Aptos Narrow"/>
        <scheme val="minor"/>
      </rPr>
      <t xml:space="preserve">. Document internal operational data management and analytics business requirements. The analytics use cases shall include different types as Descriptive, Diagnostic, Predictive &amp; Prescriptive.
</t>
    </r>
    <r>
      <rPr>
        <b/>
        <sz val="11"/>
        <color rgb="FF000000"/>
        <rFont val="Aptos Narrow"/>
        <scheme val="minor"/>
      </rPr>
      <t>SS3</t>
    </r>
    <r>
      <rPr>
        <sz val="11"/>
        <color rgb="FF000000"/>
        <rFont val="Aptos Narrow"/>
        <scheme val="minor"/>
      </rPr>
      <t xml:space="preserve">. Design a use case prioritization framework based on business impact, and ease of implementation of the use cases, and share prioritized list of use cases with stakeholders to confirm
</t>
    </r>
    <r>
      <rPr>
        <b/>
        <sz val="11"/>
        <color rgb="FF000000"/>
        <rFont val="Aptos Narrow"/>
        <scheme val="minor"/>
      </rPr>
      <t>SS4</t>
    </r>
    <r>
      <rPr>
        <sz val="11"/>
        <color rgb="FF000000"/>
        <rFont val="Aptos Narrow"/>
        <scheme val="minor"/>
      </rPr>
      <t xml:space="preserve">. Develop use case cards for all prioritized use cases. These cards shall include, at a minimum:
• Title
• Description
• Impact (High/Medium/Low)
• Priority level
• Analytics Type (Descriptive/Diagnostic/Predictive)
• Complexity
• Stakeholders
• Current Challenges
• Expected Benefits
• Required datasets &amp; source systems
</t>
    </r>
    <r>
      <rPr>
        <b/>
        <sz val="11"/>
        <color rgb="FF000000"/>
        <rFont val="Aptos Narrow"/>
        <scheme val="minor"/>
      </rPr>
      <t>SS5.</t>
    </r>
    <r>
      <rPr>
        <sz val="11"/>
        <color rgb="FF000000"/>
        <rFont val="Aptos Narrow"/>
        <scheme val="minor"/>
      </rPr>
      <t xml:space="preserve"> Validate the prepared use cases and update business requirements document with the finalized use cases to be activated through data strategy</t>
    </r>
  </si>
  <si>
    <t>Yes</t>
  </si>
  <si>
    <t>DMSG.1.1.2</t>
  </si>
  <si>
    <t>Current State Capabilities Maturity Assessment</t>
  </si>
  <si>
    <t>Has the Entity conducted Current State Capabilities Maturity Assessment in alignment with  Data Managament Maturity Model and Current Maturity Assessment Framework templates provided in the national data management strategy and governance guideline?
هل أجرت الجهة تقييماً لنضج قدراتها في الوضع الحالي، بما يتماشى مع نموذج نضج إدارة البيانات وأطر تقييم النضج المتوفرة في الاستراتيجية الوطنية لإدارة البيانات وإرشادات الحوكمة؟</t>
  </si>
  <si>
    <t>Current State Capabilities Maturity Assessment Report
تقرير تقييم نضج القدرات في الوضع الحالي</t>
  </si>
  <si>
    <r>
      <rPr>
        <sz val="11"/>
        <color rgb="FF000000"/>
        <rFont val="Aptos Narrow"/>
        <scheme val="minor"/>
      </rPr>
      <t xml:space="preserve">The Entity shall self-assess the current capabilities across all data management domains, and technology landscape. The entity shall, at a minimum:
</t>
    </r>
    <r>
      <rPr>
        <b/>
        <sz val="11"/>
        <color rgb="FF000000"/>
        <rFont val="Aptos Narrow"/>
        <scheme val="minor"/>
      </rPr>
      <t>SS1:</t>
    </r>
    <r>
      <rPr>
        <sz val="11"/>
        <color rgb="FF000000"/>
        <rFont val="Aptos Narrow"/>
        <scheme val="minor"/>
      </rPr>
      <t xml:space="preserve"> Assess the maturity across all Data management domains to provide maturity rating and areas of improvements of each data management capability
</t>
    </r>
    <r>
      <rPr>
        <b/>
        <sz val="11"/>
        <color rgb="FF000000"/>
        <rFont val="Aptos Narrow"/>
        <scheme val="minor"/>
      </rPr>
      <t>SS2:</t>
    </r>
    <r>
      <rPr>
        <sz val="11"/>
        <color rgb="FF000000"/>
        <rFont val="Aptos Narrow"/>
        <scheme val="minor"/>
      </rPr>
      <t xml:space="preserve"> Document list of all existing technologies and tools within the Entity used for data management including data storage, processing, integration, analytics, and security
</t>
    </r>
    <r>
      <rPr>
        <b/>
        <sz val="11"/>
        <color rgb="FF000000"/>
        <rFont val="Aptos Narrow"/>
        <scheme val="minor"/>
      </rPr>
      <t>SS3:</t>
    </r>
    <r>
      <rPr>
        <sz val="11"/>
        <color rgb="FF000000"/>
        <rFont val="Aptos Narrow"/>
        <scheme val="minor"/>
      </rPr>
      <t xml:space="preserve"> Document list of existing data platforms within the Entity such as data warehouse and data lake
</t>
    </r>
    <r>
      <rPr>
        <b/>
        <sz val="11"/>
        <color rgb="FF000000"/>
        <rFont val="Aptos Narrow"/>
        <scheme val="minor"/>
      </rPr>
      <t>SS4:</t>
    </r>
    <r>
      <rPr>
        <sz val="11"/>
        <color rgb="FF000000"/>
        <rFont val="Aptos Narrow"/>
        <scheme val="minor"/>
      </rPr>
      <t xml:space="preserve"> Document list of key operational and analytical dashboards and reports
</t>
    </r>
    <r>
      <rPr>
        <b/>
        <sz val="11"/>
        <color rgb="FF000000"/>
        <rFont val="Aptos Narrow"/>
        <scheme val="minor"/>
      </rPr>
      <t>SS5:</t>
    </r>
    <r>
      <rPr>
        <sz val="11"/>
        <color rgb="FF000000"/>
        <rFont val="Aptos Narrow"/>
        <scheme val="minor"/>
      </rPr>
      <t xml:space="preserve"> Develop Data management current state maturity report to identify data management domains gaps and prioritize domains that require uplifting
</t>
    </r>
    <r>
      <rPr>
        <b/>
        <sz val="11"/>
        <color rgb="FF000000"/>
        <rFont val="Aptos Narrow"/>
        <scheme val="minor"/>
      </rPr>
      <t xml:space="preserve">SS6: </t>
    </r>
    <r>
      <rPr>
        <sz val="11"/>
        <color rgb="FF000000"/>
        <rFont val="Aptos Narrow"/>
        <scheme val="minor"/>
      </rPr>
      <t>Create a benchmark study for analytics use cases and when needed other specific and emerging technologies with best practices already delivered at similar entities in other countries</t>
    </r>
  </si>
  <si>
    <t>DMSG.1.1.3</t>
  </si>
  <si>
    <t>Automated Data Management Maturity Assessment</t>
  </si>
  <si>
    <t>Has the Entity implemented automation tool for data management capabilities maturity assessment?
هل قامت الجهة بتنفيذ أداة أتمتة لتقييم نضج قدرات إدارة البيانات؟</t>
  </si>
  <si>
    <t>Implementation proof of an automation tool or accelerator for self-assessment.
إثبات تنفيذ أداة أتمتة أو مسرّع للتقييم الذاتي</t>
  </si>
  <si>
    <t>Advanced</t>
  </si>
  <si>
    <r>
      <rPr>
        <b/>
        <sz val="11"/>
        <color rgb="FF000000"/>
        <rFont val="Aptos Narrow"/>
        <scheme val="minor"/>
      </rPr>
      <t>SS1:</t>
    </r>
    <r>
      <rPr>
        <sz val="11"/>
        <color rgb="FF000000"/>
        <rFont val="Aptos Narrow"/>
        <scheme val="minor"/>
      </rPr>
      <t xml:space="preserve"> The Entity shall automate the Data management maturity assessment framework using accelerators or tools to facilitate periodic self-assessment in the future, to save time and cost</t>
    </r>
  </si>
  <si>
    <t>DMSG.1.1.4</t>
  </si>
  <si>
    <t>Data Discovery &amp; Readiness Assessment</t>
  </si>
  <si>
    <t>Has the Entity assessed and documented the readiness of source systems and critical datasets required to meet business objectives?
هل قامت الجهة بتقييم وتوثيق جاهزية الأنظمة والمجموعات البيانية الضرورية لتحقيق أهداف الأعمال؟</t>
  </si>
  <si>
    <t>Source system analysis report
تقرير تحليل أنظمة مصادر البيانات</t>
  </si>
  <si>
    <t>Document necessary datasets and critical data elements and their readiness criteria that must be met to consider data fit for use
Develop the source system analysis template and prepare source system analysis report after performing the analysis. The template shall cover the following
Schemas
Key entities/objects
Key attributes per entity
Data Owner &amp; Data Stewards
Data Domain
Reference &amp; master objects/entities
Data volumes
Attributes count
Records count
Environments
Basic data quality checks
Generate data profiling report that includes quality insights about critical data elements to indicate data readiness</t>
  </si>
  <si>
    <t>DMSG.1.2</t>
  </si>
  <si>
    <t xml:space="preserve"> Data Strategy Target State</t>
  </si>
  <si>
    <t>DMSG.1.2.1</t>
  </si>
  <si>
    <t>Data Strategy Vision, Mission, and Strategic Objectives</t>
  </si>
  <si>
    <t>Has the Entity developed and documented a Data Strategy aligns with its business objectives and includes key strategic data management themes?
هل قامت الجهة بتطوير وتوثيق استراتيجية بيانات تتماشى مع أهداف الأعمال وتتضمن المحاور الاستراتيجية الأساسية لإدارة البيانات؟</t>
  </si>
  <si>
    <t>Data Management Strategy Document
وثيقة استراتيجية إدارة البيانات</t>
  </si>
  <si>
    <t>The Entity shall align with the key relevant business stakeholders and with its strategic objectives to do the following:
Develop a vision statement that outlines the long-term goals and aspirations of the data strategy, and a mission statement that defines the core purpose and operational approach of the data strategy
Adopt, at a minimum, the following themes to drive the strategic objectives of the data strategy and guiding principles:
Data Management Capability Building &amp; Data Culture: focuses on building the required data management capabilities (process, organization &amp; technology) and driving the organization data culture forward.
Strong Data Foundation: focuses on building a strong data foundation in terms of reference &amp; master data, quality of data, metadata &amp; data cataloging
Data Value Realization: focuses on driving value from data through the entire data value chain
Regulatory Compliance: focuses on compliance with different regulatory requirements</t>
  </si>
  <si>
    <t>DMSG.1.2.2</t>
  </si>
  <si>
    <t>Data Platform Architecture</t>
  </si>
  <si>
    <t xml:space="preserve">Has the Entity developed a High-Level Target Data Platform Architecture Design Document and an Enterprise Analytical Data Model Design Document?  
هل قامت الجهة بتطوير وثيقة تصميم معمارية منصة البيانات المستهدفة على المستوى العالي، بالإضافة إلى وثيقة تصميم نموذج البيانات التحليلية المؤسسية؟  </t>
  </si>
  <si>
    <t>C2: Limited Access
C2: Limited Access</t>
  </si>
  <si>
    <t>The Entity shall design the high-level target data &amp; platform architecture including enterprise analytical data model aligned to the data architecture and modeling standards and supporting the prioritized use cases. The Entity shall at a minimum, develop the following:
High-level target data &amp; platform architecture design document (Referring to the standards in the Domain)
Enterprise Analytical Data Model Design Document</t>
  </si>
  <si>
    <t>DMSG.1.2.3</t>
  </si>
  <si>
    <t>Data Management Strategy Roadmap</t>
  </si>
  <si>
    <t>Has the Entity developed Data Strategy Roadmap that includes prioritized initiatives, initiative charters, consolidated timelines, and budgetary estimates?
هل قامت الجهة بوضع خارطة طريق لاستراتيجية البيانات تتضمن المبادرات ذات الأولوية، ومواثيق المبادرات، والجداول الزمنية الموحدة، والتقديرات المالية؟</t>
  </si>
  <si>
    <t>Data Management Strategy Roadmap document
وثيقة خارطة طريق استراتيجية إدارة البيانات</t>
  </si>
  <si>
    <t>In alignment with the defined strategic objectives, the Entity shall consolidate the documented operational and analytics business requirements into a comprehensive list of initiatives. These initiatives shall then be prioritized for implementation to ensure the successful achievement of the strategic objectives. To develop the data strategy roadmap, the Entity shall at a minimum:
Develop a prioritization framework to prioritize the identified initiatives based on business impacts and ease of implementation and identify the immediate priority, mid-term, and long-term initiatives
Develop initiative charters for the identified initiatives including at a minimum:
Overview
Owner
Stakeholders
Budget
Key Activities
Indicative Timeline
Expected outcomes
Develop a data strategy roadmap by listing all the initiatives and develop a consolidated timeline for all initiatives and key activities, considering their priority and dependencies
Develop the overall data strategy budgetary estimates for the initiatives collectively, and develop detailed budgetary estimate per each initiative and related milestone</t>
  </si>
  <si>
    <t>DMSG.1.2.4</t>
  </si>
  <si>
    <t>Data Operating Model</t>
  </si>
  <si>
    <t>Has the Entity developed and documented a Data Operating Model that includes target data organization structure ,governance charters, capacity planning, sourcing frameworks, and interaction processes?
هل قامت الجهة بتطوير وتوثيق نموذج تشغيل البيانات، بحيث يشمل الهيكل التنظيمي المستهدف للبيانات، ومواثيق الحوكمة، وتخطيط القدرات، وأطر التوريد، وآليات التفاعل؟</t>
  </si>
  <si>
    <t xml:space="preserve"> Data Operating Model document
وثيقة نموذج تشغيل البيانات</t>
  </si>
  <si>
    <t>The Entity shall design the data operating model needed to activate and drive the data strategy including, at a minimum:
Data committee charter and required working groups charters (including the mandate, members, key activities, key outcomes, meeting frequency) based on the data management requirements
Target org. structure design in alignment with National organizational structure guidelines
Design interim-state and target-state data capacity plan for data roles and responsibilities in alignment with the national data operating model based on the entity’s requirements and size
Manpower sourcing framework and criteria in alignment with national guidelines and templates to identify the jobs / roles that could be outsourced for the Entity
Processes needed to manage the interaction between various departments inside the Entity and other external partners or entities</t>
  </si>
  <si>
    <t>DMSG.2.1</t>
  </si>
  <si>
    <t xml:space="preserve"> Data Governance Policy</t>
  </si>
  <si>
    <t>DMSG.2.1.1</t>
  </si>
  <si>
    <t>Data Governance Policy Creation</t>
  </si>
  <si>
    <t>Has the Entity developed a Data Governance Policy  in alignment with 'Data Governance Policy Template' provided in National Data Strategy &amp; Governance Guidelines?
هل قامت الجهة بتطوير سياسة حوكمة البيانات بما يتماشى مع "نموذج سياسة حوكمة البيانات" الوارد في إرشادات استراتيجية وحوكمة البيانات الوطنية؟</t>
  </si>
  <si>
    <t>Data Governance Policy Document
وثيقة سياسة حوكمة البيانات</t>
  </si>
  <si>
    <t>The Entity shall establish a data governance policy to ensure that data will be managed and governed across the Entity effectively, securely, and efficiently through the data lifecycle.
The policy shall cover, at a minimum:
Overview, purpose, scope, and objectives of the policy
Policy applicability, validity, and review
Policy guidelines in alignment to the National Data Management Policy and Standards
Detailed policy statements covering, at a minimum, the following:
Data management and organizational structure
Change management and organizational awareness
Performance management and monitoring
Escalation and issue management
Periodic policy review and updates
Key policy performance indicators
Roles and Responsibilities
References</t>
  </si>
  <si>
    <t>Initially this was planned to taken from IDMC</t>
  </si>
  <si>
    <t>DMSG.2.1.2</t>
  </si>
  <si>
    <t>Data Governance Policy Publication</t>
  </si>
  <si>
    <t>Has the Entity reviewed, approved, and published the Data Governance Policy following the defined process in the National Data Strategy &amp; Governance Management Guidelines?
هل قامت الجهة بمراجعة واعتماد ونشر سياسة حوكمة البيانات وفقًا للإجراءات المحددة في إرشادات استراتيجية وحوكمة البيانات الوطنية؟</t>
  </si>
  <si>
    <t>Formal Policy dissemination communication material
مواد رسمية لنشر السياسة والتوعية بها</t>
  </si>
  <si>
    <t>C1: Internal</t>
  </si>
  <si>
    <t>The Entity shall publish the data governance policy following the below guidelines:
Review the draft policy with the Entity’s Data Committee or equivalent body
Incorporate Data Committee or equivalent body’s feedback
Review draft policy for auditability
Incorporate internal audit feedback
Seek policy review and guidance from the National Data Governance Office, and incorporate the received feedback
Publish the policy on Entity’s digital channels such as entity’s website
Socialize the policy within the Entity to drive adoption and change management</t>
  </si>
  <si>
    <t>curl -X POST \
  "https://emc1-cai.dm1-em.informaticacloud.com/active-bpel/public/rt/bHy4RORsmyRlzK8o3vcRmA/P-DMS1" \
  -H "Content-Type: application/json" \
  -H "Accept: application/json" \
  -d '{
        "in_username": "Unifi_Melfin2",
        "in_password": "Welcome2@1234567"
      }'
RESPONSE:
{
    "Total Number of Policy": "1",
    "Total number of published policy": "1",
    "last published policy details": {
        "policy name": "PII Data Handling Policy",
        "policy type": "Published",
        "policy description": "defining PII policies and roles, identifying and classifying PII assets, establishing secure access controls and encryption, implementing data quality and lifecycle management, and continuously monitoring and auditing processes for compliance and improvement",
        "policy last update date": "2025-10-04"
    },
    "Total number of times the Policy changed": "16"
}</t>
  </si>
  <si>
    <t>DMSG.2.2</t>
  </si>
  <si>
    <t xml:space="preserve"> Governance Activation</t>
  </si>
  <si>
    <t>DMSG.2.2.1</t>
  </si>
  <si>
    <t>Organizational Structure &amp; Operating Model</t>
  </si>
  <si>
    <t>Has the Entity activated the Data Operating model by appointing/ fulfilling the roles determined in the designed operating model?
هل قامت الجهة بتفعيل نموذج تشغيل البيانات من خلال تعيين أو استكمال الأدوار المحددة في النموذج التشغيلي المصمم؟</t>
  </si>
  <si>
    <t>List of appointed individuals that fullfilled the roles defined in the designed data operating model
قائمة الأفراد المعينين الذين شغلوا الأدوار المحددة في نموذج تشغيل البيانات المصمم</t>
  </si>
  <si>
    <t>The Entity shall activate the data organization and operating model by appointing / fulfilling all roles and positions determined in the designed operating model. The Entity shall, at a minimum:
Detail job descriptions and qualifications for each of the roles outlined in the data organization capacity plan
Map all selected data organization job families and positions outlined in the data organization capacity plan to the entity’s HR jobs structures
Assess existing data &amp; analytics talents within the Entity (to be appointed in the defined roles) against the capacity plan and develop a recruitment plan for acquiring missing data management talent, this shall include target onboarding dates, hiring managers, etc.
Detail hiring processes for data management and analytics talents
Ensure onboarding the new hires to the data management program</t>
  </si>
  <si>
    <t>curl -X POST \
  "https://emc1-cai.dm1-em.informaticacloud.com/active-bpel/public/rt/bHy4RORsmyRlzK8o3vcRmA/P-DMS2" \
  -H "Content-Type: application/json" \
  -H "Accept: application/json" \
  -d '{
        "in_username": "Unifi_Melfin2",
        "in_password": "Welcome2@1234567"
      }'
RESPONSE:
{
    "Total number of governance roles": "Admin, Application_Administrator, Data Access Owner, Dataloader Admin, Data Marketplace Administrator, Data Marketplace Technical Administrator, Governance Administrator, Governance Owner, Governance User, KMS Key Admin, Reference 360 Administrator, Supplier 360 Task Admin",
    "Total Number of predefined governance roles": 9,
    "Total Number of custom governance roles": 3,
    "Number of users assigned to the admin role": 22,
    "Number of users assigned to the Data Access Owner role": 10,
    "Number of users assigned to the Governance Administrator role": 0,
    "Number of users assigned to the Governance User role": 0,
    "Number of users assigned to the Governance Owner role": 0,
    "Total number of governance workflows": 2,
    "Number of stakeholders assigned for business assets": 9,
    "Number of stakeholders assigned for Technical assets": 10,
    "Total Number of stakeholders assigned in the Domain": 0,
    "Total Number of stakeholders assigned in the Sub Domain": 0,
    "Total Number of stakeholders assigned in the business term": 2,
    "Total Number of stakeholders assigned in the System": 4,
    "Total Number of stakeholders assigned in the dataset": 7,
    "Total Number of stakeholders assigned in the column": 6,
    "Total Number of stakeholders assigned in the tables": 8
}</t>
  </si>
  <si>
    <t>DMSG.2.2.2</t>
  </si>
  <si>
    <t>Data Committee</t>
  </si>
  <si>
    <t>Has the Entity formally established and operationalized the Data Committee and Working Groups by appointing members, conducting a kickoff meeting, and scheduling regular meetings?
هل قامت الجهة بإنشاء وتشغيل لجنة البيانات والفرق العاملة بشكل رسمي من خلال تعيين الأعضاء، وعقد اجتماع تدشيني، وجدولة الاجتماعات الدورية؟</t>
  </si>
  <si>
    <t>List of appointed members who will play the determined roles identified in the data committee, in addition to the data committee meeting schedule
قائمة الأعضاء المعينين الذين سيتولون الأدوار المحددة في لجنة البيانات، بالإضافة إلى جدول اجتماعات اللجنة</t>
  </si>
  <si>
    <t>The Entity shall activate the data committee and working groups defined in the data operating model by accomplishing at a minimum:
Determine the individuals who will play the determined roles identified in the data committee and working groups charters
Conduct a kickoff meeting led by the chairperson of each working group and data committee
Schedule data committee and working groups meetings as per meeting frequency outlined in the charters</t>
  </si>
  <si>
    <t>DMSG.3.1</t>
  </si>
  <si>
    <t xml:space="preserve"> Change &amp; Performance Management</t>
  </si>
  <si>
    <t>DMSG.3.1.1</t>
  </si>
  <si>
    <t>Strategy Socialization</t>
  </si>
  <si>
    <t>Has the Entity conducted formal strategy socialization through executive meetings and internal communication to ensure awareness and alignment?
هل قامت الجهة بإجراء تواصل رسمي لاستراتيجية البيانات من خلال الاجتماعات التنفيذية والاتصالات الداخلية لضمان الوعي والمواءمة؟</t>
  </si>
  <si>
    <t>Formal Data Strategy dissimination communication material
مواد رسمية لنشر استراتيجية البيانات والتوعية بها</t>
  </si>
  <si>
    <t>The Entity shall ensure stakeholders are aware of the data strategy and roadmap and of their specific responsibilities within the data strategy. The Entity shall, at a minimum:
Conduct an executive meeting with business, technical, and other key stakeholders to share and socialize the data strategy
Formally communicate the strategy across the Entity</t>
  </si>
  <si>
    <t>DMSG.3.1.2</t>
  </si>
  <si>
    <t>Data Strategy KPIs</t>
  </si>
  <si>
    <t>Has the Entity defined and documented Strategic and Operational Data Strategy KPIs to measure impact and performance?
هل قامت الجهة بتحديد وتوثيق مؤشرات الأداء الاستراتيجية والتشغيلية لاستراتيجية البيانات بهدف قياس الأثر والأداء؟</t>
  </si>
  <si>
    <t>Data Management Strategy Strategic and Operational KPIs document
وثيقة مؤشرات الأداء الاستراتيجية والتشغيلية لاستراتيجية إدارة البيانات</t>
  </si>
  <si>
    <t>The Entity shall establish key performance indicators (KPIs) to measure and report on the Entity's data strategy. KPIs shall include, at a minimum:
Strategic key performance indicators (KPIs) to enable executive stakeholders to measure and monitor the impact of the data strategy
Operational key performance indicators (KPIs) to monitor and report the performance of data strategy operational activities</t>
  </si>
  <si>
    <t>curl -X POST \
  "https://emc1-cai.dm1-em.informaticacloud.com/active-bpel/public/rt/bHy4RORsmyRlzK8o3vcRmA/P_DMS3" \
  -H "Content-Type: application/json" \
  -H "Accept: application/json" \
  -d '{
        "in_username": "Unifi_Melfin2",
        "in_password": "Welcome2@1234567"
      }'
RESPONSE:
{
    "Total number of technical asset onboarded": "2051058",
    "Total number of business asset onboarded": "69961",
    "Total number of data quality rules related to accuracy": "43",
    "Total number of data quality rules related to validity": "29",
    "Total number of data quality rules related to completeness": "32",
    "Total number of data quality rules related to consistency": "8",
    "Total number of data quality rules related to timeliness": "4",
    "Total number of data quality rules related to uniqueness": "1",
    "Average accuracy score for the DQ rule": "73.02680000000001",
    "Average consistency score for the DQ rule": "93.31",
    "Average uniqueness score for the DQ rule": "100",
    "Average timeliness score for the DQ rule": "93.31",
    "Average validity score for the DQ rule": "64.30464285714285",
    "Average completeness score for the DQ rule": "71.48769230769231",
    "Total number of workflows": "2",
    "Total number of secure agents": "1",
    "Total number of secure agents that are running": "1",
    "Total number of secure agents that are stopped": "0",
    "Total number of times the Domain changed": "5",
    "Total number of times the Sub Domain changed": "15",
    "Total number of times the Dataset changed": "1883",
    "Total number of times the Policy changed": "16",
    "Total number of times the Business term changed": "9908",
    "Total number of times the System changed": "81",
    "Total Data Element Classification": "230",
    "Total Number of Classification Associated with Data Element": "26"
}</t>
  </si>
  <si>
    <t>DMSG.3.1.3</t>
  </si>
  <si>
    <t>Data Strategy Monitoring &amp; Reporting</t>
  </si>
  <si>
    <t>Has the Entity implemented a Data Strategy Monitoring &amp; Reporting mechanism, including dashboards and periodic reports on key achievements, challenges, financials, and risks?
هل قامت الجهة بتنفيذ آلية متابعة استراتيجية البيانات وإعداد التقارير، بما في ذلك لوحات المعلومات والتقارير الدورية حول الإنجازات الرئيسية، والتحديات، والجوانب المالية، والمخاطر؟</t>
  </si>
  <si>
    <t>Operational dashboards and periodic reports covering KPI performance, achievements, challenges, financial analysis, and risk mitigation measures.
 لوحات معلومات تشغيلية وتقارير دورية تغطي أداء مؤشرات الأداء الرئيسية، والإنجازات، والتحديات، والتحليل المالي، وتدابير الحد من المخاطر</t>
  </si>
  <si>
    <t>The Entity shall monitor and report on the data strategy at a predefined frequency and based on the defined KPIs. This shall include, at a minimum:
Dashboards to track, analyze, and display data in an aggregated format to gain deeper insight on the overall performance and trends across the operational data strategy KPIs
Reports detailing, at a minimum:
Executive summaries highlighting key achievements and challenges across the data strategy
Detailed analysis of strategic and operational KPIs and performance metrics
Progress against the data strategy roadmap
Financial analysis including budget adherence
Identified risks and mitigations</t>
  </si>
  <si>
    <t>curl -X POST \
  "https://emc1-cai.dm1-em.informaticacloud.com/active-bpel/public/rt/bHy4RORsmyRlzK8o3vcRmA/P_DMS4" \
  -H "Content-Type: application/json" \
  -H "Accept: application/json" \
  -d '{
        "in_username": "Unifi_Melfin2",
        "in_password": "Welcome2@1234567"
      }'
RESPONSE:
{
    "Total number of active jobs": "0",
    "Total number of jobs with a cancel request": "0",
    "Total number of cancelled jobs": "136",
    "Total number of completed jobs": "598",
    "Total number of partially completed jobs": "87",
    "Total number of failed jobs": "98",
    "Total number of jobs with a pause request": "0",
    "Total number of paused jobs": "0",
    "Total number of running jobs": "0",
    "Total number of skipped jobs": "0",
    "Total number of jobs that are starting": "0",
    "Total number of submitted jobs": "0",
    "Total number of Dashboards": "4",
    "Total number of tickets of type Data Quality Issue raised in the last one year": "0",
    "Total number of tickets of type Data Quality Issue raised in the last one year that are resolved": "0",
    "Total number of tickets of type Data Quality Issue raised in the last one year that are pending": "0",
    "Total number of tickets of type Approval Request for Change raised in the last one year": "7",
    "Total number of tickets of type Approval Request for Change raised in the last one year that are resolved": "0",
    "Total number of tickets of type Approval Request for Change raised in the last one year that are pending": "0",
    "Total number of active DQ score aggregation jobs": "0",
    "Total number of DQ score aggregation jobs with a cancel request": "0",
    "Total number of cancelled DQ score aggregation jobs": "0",
    "Total number of completed DQ score aggregation jobs": "0",
    "Total number of partially completed DQ score aggregation jobs": "87",
    "Total number of failed DQ score aggregation jobs": "98",
    "Total number of DQ score aggregation jobs with a pause request": "0",
    "Total number of paused DQ score aggregation jobs": "0",
    "Total number of running DQ score aggregation jobs": "0",
    "Total number of skipped DQ score aggregation jobs": "0",
    "Total number of DQ score aggregation jobs that are starting": "0",
    "Total number of submitted DQ score aggregation jobs": "0",
}</t>
  </si>
  <si>
    <t>DMSG.3.2</t>
  </si>
  <si>
    <t xml:space="preserve"> Data Management Strategy &amp; Governance Policy Refresh</t>
  </si>
  <si>
    <t>DMSG.3.2.1</t>
  </si>
  <si>
    <t>Data Management Strategy &amp; Governance Policy Refresh</t>
  </si>
  <si>
    <t>Has the entity established and documented a process for reviewing and updating the data management strategy and governance policy?
هل قامت الجهة بوضع وتوثيق آلية لمراجعة وتحديث استراتيجية إدارة البيانات وسياسة الحوكمة؟</t>
  </si>
  <si>
    <t>Data management strategy and governance policy refresh process document
وثيقة عملية تحديث استراتيجية إدارة البيانات وسياسة الحوكمة</t>
  </si>
  <si>
    <t>The Entity shall establish a process for refreshing the data management strategy and governance policy, which shall include, at a minimum:
Scheduled reviews of the data management strategy and governance policy on an annual basis (at a minimum) to determine the need for any changes or updates to the existing version
Unscheduled reviews if significant changes in the external environment take place
Stakeholder engagement through meetings and workshops to gather diverse perspectives and insights based on any identified gaps, opportunities, or changes in the external environment
Add approved data strategy changes to a backlog to track changes and approvals
Add approved data governance policy changes to a backlog to track changes and approvals
Refine and update the data strategy based on the changes and associated priorities in the backlog
Update the data governance policy based on the changes and associated priorities in the backlog</t>
  </si>
  <si>
    <t>DQM.1.1</t>
  </si>
  <si>
    <t xml:space="preserve"> Data Quality Policy</t>
  </si>
  <si>
    <t>DQM.1.1.1</t>
  </si>
  <si>
    <t>Data Quality Policy Creation</t>
  </si>
  <si>
    <t xml:space="preserve">Has the Entity developed Data Quality Policy  in alignment with 'Data Quality Policy Template' provided in National Data Quality Management Guidelines?
هل قامت الجهة بتطوير سياسة جودة البيانات بما يتماشى مع "نموذج سياسة جودة البيانات" الوارد في الدليل الوطني الإرشادي لإدارة جودة البيانات ؟
</t>
  </si>
  <si>
    <t>Data Quality Policy document
وثيقة سياسة جودة البيانات</t>
  </si>
  <si>
    <t xml:space="preserve">Foundational </t>
  </si>
  <si>
    <r>
      <rPr>
        <sz val="11"/>
        <color rgb="FF000000"/>
        <rFont val="Aptos Narrow"/>
        <scheme val="minor"/>
      </rPr>
      <t xml:space="preserve">The Entity shall create a data quality policy in alignment with National Quality Assurance Framework (NQAF) published by the NPC to ensure data is qualified for statistics and analytics purposes and elevating data quality across systems and sources within the Entity.
</t>
    </r>
    <r>
      <rPr>
        <b/>
        <sz val="11"/>
        <color rgb="FF000000"/>
        <rFont val="Aptos Narrow"/>
        <scheme val="minor"/>
      </rPr>
      <t>SS1:</t>
    </r>
    <r>
      <rPr>
        <sz val="11"/>
        <color rgb="FF000000"/>
        <rFont val="Aptos Narrow"/>
        <scheme val="minor"/>
      </rPr>
      <t xml:space="preserve"> The policy shall cover, at a minimum:
• Overview, purpose, scope, and objectives of the policy
• Policy applicability, validity, and review
• Policy guidelines in alignment to the National Data Management Policy and Standards
• Detailed policy statements covering, at a minimum, the following:
◦ Data quality dimensions including, at a minimum: uniqueness, completeness, validity, accuracy, consistency, timeliness
◦ Critical data elements (CDEs) identification
◦ Developing Data Quality Rules and Thresholds
◦ Data Profiling and Quality Assessment
◦ Data Quality Escalations and Issue Management
◦ Data Quality Remediation Process
◦ Performance management and monitoring
◦ Periodic policy review and updates
◦ Key policy performance indicators
• Roles and Responsibilities
• References</t>
    </r>
  </si>
  <si>
    <t>DQM.1.1.2</t>
  </si>
  <si>
    <t>Data Quality Policy Publication</t>
  </si>
  <si>
    <t>Has the Entity reviewed, approved, and published the Data Quality Policy following the defined process in the National Data Quality Management Guidelines?
هل قامت الجهة بمراجعة واعتماد ونشر سياسة جودة البيانات وفقًا للإجراءات المحددة في  الدليل الوطني الإرشادي لإدارة جودة البيانات؟</t>
  </si>
  <si>
    <t>Formal Policy dissemination communication material
مواد تواصل رسمية لنشر السياسة</t>
  </si>
  <si>
    <r>
      <rPr>
        <sz val="11"/>
        <color rgb="FF000000"/>
        <rFont val="Aptos Narrow"/>
        <scheme val="minor"/>
      </rPr>
      <t xml:space="preserve">The Entity shall publish its data quality policy following the below guidelines:
</t>
    </r>
    <r>
      <rPr>
        <b/>
        <sz val="11"/>
        <color rgb="FF000000"/>
        <rFont val="Aptos Narrow"/>
        <scheme val="minor"/>
      </rPr>
      <t>SS1:</t>
    </r>
    <r>
      <rPr>
        <sz val="11"/>
        <color rgb="FF000000"/>
        <rFont val="Aptos Narrow"/>
        <scheme val="minor"/>
      </rPr>
      <t xml:space="preserve"> Review the draft policy with the Entity’s Data Committee or equivalent body
</t>
    </r>
    <r>
      <rPr>
        <b/>
        <sz val="11"/>
        <color rgb="FF000000"/>
        <rFont val="Aptos Narrow"/>
        <scheme val="minor"/>
      </rPr>
      <t>SS2:</t>
    </r>
    <r>
      <rPr>
        <sz val="11"/>
        <color rgb="FF000000"/>
        <rFont val="Aptos Narrow"/>
        <scheme val="minor"/>
      </rPr>
      <t xml:space="preserve"> Incorporate Data Committee or equivalent body’s feedback
</t>
    </r>
    <r>
      <rPr>
        <b/>
        <sz val="11"/>
        <color rgb="FF000000"/>
        <rFont val="Aptos Narrow"/>
        <scheme val="minor"/>
      </rPr>
      <t>SS3:</t>
    </r>
    <r>
      <rPr>
        <sz val="11"/>
        <color rgb="FF000000"/>
        <rFont val="Aptos Narrow"/>
        <scheme val="minor"/>
      </rPr>
      <t xml:space="preserve"> Review draft policy for auditability
</t>
    </r>
    <r>
      <rPr>
        <b/>
        <sz val="11"/>
        <color rgb="FF000000"/>
        <rFont val="Aptos Narrow"/>
        <scheme val="minor"/>
      </rPr>
      <t>SS4:</t>
    </r>
    <r>
      <rPr>
        <sz val="11"/>
        <color rgb="FF000000"/>
        <rFont val="Aptos Narrow"/>
        <scheme val="minor"/>
      </rPr>
      <t xml:space="preserve"> Incorporate internal audit feedback
</t>
    </r>
    <r>
      <rPr>
        <b/>
        <sz val="11"/>
        <color rgb="FF000000"/>
        <rFont val="Aptos Narrow"/>
        <scheme val="minor"/>
      </rPr>
      <t>SS5:</t>
    </r>
    <r>
      <rPr>
        <sz val="11"/>
        <color rgb="FF000000"/>
        <rFont val="Aptos Narrow"/>
        <scheme val="minor"/>
      </rPr>
      <t xml:space="preserve"> Seek policy review and guidance from National Data Governance Office and incorporate the provided feedback
</t>
    </r>
    <r>
      <rPr>
        <b/>
        <sz val="11"/>
        <color rgb="FF000000"/>
        <rFont val="Aptos Narrow"/>
        <scheme val="minor"/>
      </rPr>
      <t>SS6:</t>
    </r>
    <r>
      <rPr>
        <sz val="11"/>
        <color rgb="FF000000"/>
        <rFont val="Aptos Narrow"/>
        <scheme val="minor"/>
      </rPr>
      <t xml:space="preserve"> Publish the policy on Entity’s digital channels (e.g. The entity’s website)
</t>
    </r>
    <r>
      <rPr>
        <b/>
        <sz val="11"/>
        <color rgb="FF000000"/>
        <rFont val="Aptos Narrow"/>
        <scheme val="minor"/>
      </rPr>
      <t>SS7:</t>
    </r>
    <r>
      <rPr>
        <sz val="11"/>
        <color rgb="FF000000"/>
        <rFont val="Aptos Narrow"/>
        <scheme val="minor"/>
      </rPr>
      <t xml:space="preserve"> Socialize the policy within the Entity to drive adoption and change management</t>
    </r>
  </si>
  <si>
    <t>DQM.1.2</t>
  </si>
  <si>
    <t xml:space="preserve"> Data Quality Planning</t>
  </si>
  <si>
    <t>DQM.1.2.1</t>
  </si>
  <si>
    <t>Data Profiling</t>
  </si>
  <si>
    <t>Has the Entity identified Critical Data Elements (CDEs) using the 'CDE Prioritization Framework Template', and conducted data profiling for identified CDEs using the 'Data Profiling Report Template' as provided in the National Data Quality Management Guidelines?
هل حددت الجهة عناصر البيانات الحرجة  باستخدام" نموذج إطار تحديد الأولويات لعناصر البيانات الحرجة"، وأجرت تحليلاً للبيانات لهذه العناصر باستخدام نموذج "تقرير تنميط البيانات" الوارد في إرشادات إدارة جودة البيانات الوطنية؟</t>
  </si>
  <si>
    <t>CDE Prioritization Framework
Data Profiling Report or Dashboard
إطار تحديد أولويات العناصر البيانات الأساسية
تقرير تنميط البيانات</t>
  </si>
  <si>
    <r>
      <rPr>
        <sz val="11"/>
        <color rgb="FF000000"/>
        <rFont val="Aptos Narrow"/>
        <scheme val="minor"/>
      </rPr>
      <t xml:space="preserve">The Entity shall identify CDEs and perform initial data profiling for the identified CDEs. The data profiling exercise shall include, at minimum:
</t>
    </r>
    <r>
      <rPr>
        <b/>
        <sz val="11"/>
        <color rgb="FF000000"/>
        <rFont val="Aptos Narrow"/>
        <scheme val="minor"/>
      </rPr>
      <t>SS1:</t>
    </r>
    <r>
      <rPr>
        <sz val="11"/>
        <color rgb="FF000000"/>
        <rFont val="Aptos Narrow"/>
        <scheme val="minor"/>
      </rPr>
      <t xml:space="preserve"> Identification and documentation of the main business domains to be covered as part of the data quality scope
</t>
    </r>
    <r>
      <rPr>
        <b/>
        <sz val="11"/>
        <color rgb="FF000000"/>
        <rFont val="Aptos Narrow"/>
        <scheme val="minor"/>
      </rPr>
      <t>SS2:</t>
    </r>
    <r>
      <rPr>
        <sz val="11"/>
        <color rgb="FF000000"/>
        <rFont val="Aptos Narrow"/>
        <scheme val="minor"/>
      </rPr>
      <t xml:space="preserve"> Documentation of the source systems, datasets, and CDEs required to be elevated as per the prioritized business domains and their business impact, in addition to those already identified previously in the Entity’s data strategy
</t>
    </r>
    <r>
      <rPr>
        <b/>
        <sz val="11"/>
        <color rgb="FF000000"/>
        <rFont val="Aptos Narrow"/>
        <scheme val="minor"/>
      </rPr>
      <t>SS3:</t>
    </r>
    <r>
      <rPr>
        <sz val="11"/>
        <color rgb="FF000000"/>
        <rFont val="Aptos Narrow"/>
        <scheme val="minor"/>
      </rPr>
      <t xml:space="preserve"> Conduct data profiling and publish the results in data profiling reports or dashboards using the Entity’s established data quality dimensions</t>
    </r>
  </si>
  <si>
    <t>curl -X POST \
  "https://emc1-cai.dm1-em.informaticacloud.com/active-bpel/public/rt/bHy4RORsmyRlzK8o3vcRmA/P_Plan-DQ1" \
  -H "Content-Type: application/json" \
  -H "Accept: application/json" \
  -d '{
        "in_username": "Unifi_Melfin2",
        "in_password": "Welcome2@1234567"
      }'
RESPONSE:
{
    "Total number of business terms which are CDE": "278",
    "Total number of business terms which are Non CDE": "24",
    "Total number of profiled column ": "44692",
    "Percentage of data quality issues in accuracy CDEs": "40.866666666666666667",
    "Percentage of data quality issues in validity CDEs": "76.72",
    "Percentage of data quality issues in completeness CDEs": "49.995",
    "Percentage of data quality issues in Timeliness CDEs": "0",
    "Percentage of data quality issues in uniqueness CDEs": "0",
    "Total number of times the business term changed": "9853",
    "Number of attributes linked with CDE under the dataset": "311",
    "Count of datasets which contains CDE that are published to the marketplace": "1",
    "Percentage of data quality issues in Consistency CDEs": "0",
    "Total count of tables": "38732",
    "Total count of Attribute": "812933",
    "Total number of data quality rules related to accuracy for CDE": "26",
    "Total number of data quality rules related to Consistency for CDE": "0",
    "Total number of data quality rules related to Uniqueness for CDE": "0",
    "Total number of data quality rules related to Timeliness for CDE": "1",
    "Total number of data quality rules related to Completeness for CDE": "5",
    "Total number of data quality rules related to Validity for CDE": "4"
}</t>
  </si>
  <si>
    <t>DQM.1.2.2</t>
  </si>
  <si>
    <t>Data Quality Plan</t>
  </si>
  <si>
    <t xml:space="preserve">Has the Entity developed a Data Quality Plan that will be used and monitored to implement and activate data quality initiatives across the Entity, in alignment with the 'Data Quality Plan Process and Template' as provided in the National Data Quality Management Guidelines?
هل قامت الجهة بتطوير خطة جودة البيانات لاستخدامها ومراقبتها لتنفيذ وتفعيل مبادرات جودة البيانات على مستوى الجهة، بما يتماشى مع إجراءات ونموذج "عملية خطة جودة البيانات" الواردة في  الدليل الوطني الإرشادي لإدارة جودة البيانات؟
</t>
  </si>
  <si>
    <t>Data Quality Plan document
وثيقة خطة جودة البيانات</t>
  </si>
  <si>
    <r>
      <rPr>
        <sz val="11"/>
        <color rgb="FF000000"/>
        <rFont val="Aptos Narrow"/>
        <scheme val="minor"/>
      </rPr>
      <t xml:space="preserve">Based on the initial data profiling results, the Entity shall develop a data quality plan, in alignment with the Entity’s data strategy, that will be used and monitored to implement and activate data quality initiatives across the Entity. The plan shall include, at a minimum:
</t>
    </r>
    <r>
      <rPr>
        <b/>
        <sz val="11"/>
        <color rgb="FF000000"/>
        <rFont val="Aptos Narrow"/>
        <scheme val="minor"/>
      </rPr>
      <t>SS1:</t>
    </r>
    <r>
      <rPr>
        <sz val="11"/>
        <color rgb="FF000000"/>
        <rFont val="Aptos Narrow"/>
        <scheme val="minor"/>
      </rPr>
      <t xml:space="preserve"> List of activities and milestones. The plan should account for quick wins and longer-term strategic changes
</t>
    </r>
    <r>
      <rPr>
        <b/>
        <sz val="11"/>
        <color rgb="FF000000"/>
        <rFont val="Aptos Narrow"/>
        <scheme val="minor"/>
      </rPr>
      <t>SS2:</t>
    </r>
    <r>
      <rPr>
        <sz val="11"/>
        <color rgb="FF000000"/>
        <rFont val="Aptos Narrow"/>
        <scheme val="minor"/>
      </rPr>
      <t xml:space="preserve"> Owners and stakeholders
</t>
    </r>
    <r>
      <rPr>
        <b/>
        <sz val="11"/>
        <color rgb="FF000000"/>
        <rFont val="Aptos Narrow"/>
        <scheme val="minor"/>
      </rPr>
      <t>SS3:</t>
    </r>
    <r>
      <rPr>
        <sz val="11"/>
        <color rgb="FF000000"/>
        <rFont val="Aptos Narrow"/>
        <scheme val="minor"/>
      </rPr>
      <t xml:space="preserve"> Interdependencies, assumptions, and risks
</t>
    </r>
    <r>
      <rPr>
        <b/>
        <sz val="11"/>
        <color rgb="FF000000"/>
        <rFont val="Aptos Narrow"/>
        <scheme val="minor"/>
      </rPr>
      <t>SS4:</t>
    </r>
    <r>
      <rPr>
        <sz val="11"/>
        <color rgb="FF000000"/>
        <rFont val="Aptos Narrow"/>
        <scheme val="minor"/>
      </rPr>
      <t xml:space="preserve"> Implementation timeline and cost</t>
    </r>
  </si>
  <si>
    <t>curl -X POST \
  "https://emc1-cai.dm1-em.informaticacloud.com/active-bpel/public/rt/bHy4RORsmyRlzK8o3vcRmA/P_Plan-DQ2" \
  -H "Content-Type: application/json" \
  -H "Accept: application/json" \
  -d '{
        "in_username": "Unifi_Melfin2",
        "in_password": "Welcome2@1234567"
      }'
RESPONSE:
{
    "data quality good threshold percentage": "33",
    "data quality acceptable threshold percentage": "7",
    "data quality non acceptable threshold percentage": "27",
    "dq rules linked with cde": "28.05",
    "Shows all in Domain like domain, sub domain ,Business terms, metric": "38",
    "Domain containing metrices": "1",
    "dq rule related to data element related to technical dataset": "93",
    "dq rule with threshold result in good and related to data element related to dataset": "93",
    "dq rule with threshold result in acceptable and related to data element related to dataset": "7",
    "dq rule with threshold result in not acceptable and related to data element related to dataset": ""
}</t>
  </si>
  <si>
    <t>DQM.2.1</t>
  </si>
  <si>
    <t xml:space="preserve"> Data Quality Implementation</t>
  </si>
  <si>
    <t>DQM.2.1.1</t>
  </si>
  <si>
    <t>Data Quality Rules &amp; Thresholds</t>
  </si>
  <si>
    <t xml:space="preserve">Has the Entity developed and documented data quality rules and thresholds for Critical Data Elements (CDEs) in alignment with the 'Data Quality Rules Template' as provided in the National Data Quality Management Guidelines?
هل قامت الجهة بتطوير وتوثيق قواعد جودة البيانات والحدود الخاصة بعناصر البيانات الحرجة  بما يتماشى مع نموذج قواعد جودة البيانات الوارد في إرشادات إدارة جودة البيانات الوطنية؟
</t>
  </si>
  <si>
    <t>Data Quality Rules document/ register
سجل/وثيقة قواعد جودة البيانات</t>
  </si>
  <si>
    <r>
      <rPr>
        <sz val="11"/>
        <color rgb="FF000000"/>
        <rFont val="Aptos Narrow"/>
        <scheme val="minor"/>
      </rPr>
      <t xml:space="preserve">The Entity shall define and document a set of data quality rules and acceptable thresholds for the CDEs in alignment with business and technical stakeholders. The definition of data quality rules shall include, at minimum:
</t>
    </r>
    <r>
      <rPr>
        <b/>
        <sz val="11"/>
        <color rgb="FF000000"/>
        <rFont val="Aptos Narrow"/>
        <scheme val="minor"/>
      </rPr>
      <t xml:space="preserve">SS1: </t>
    </r>
    <r>
      <rPr>
        <sz val="11"/>
        <color rgb="FF000000"/>
        <rFont val="Aptos Narrow"/>
        <scheme val="minor"/>
      </rPr>
      <t xml:space="preserve">Rule description (detailed explanation of the rule)
</t>
    </r>
    <r>
      <rPr>
        <b/>
        <sz val="11"/>
        <color rgb="FF000000"/>
        <rFont val="Aptos Narrow"/>
        <scheme val="minor"/>
      </rPr>
      <t>SS2:</t>
    </r>
    <r>
      <rPr>
        <sz val="11"/>
        <color rgb="FF000000"/>
        <rFont val="Aptos Narrow"/>
        <scheme val="minor"/>
      </rPr>
      <t xml:space="preserve"> Rule type, specifying whether the rule is a business rule or a technical rule
</t>
    </r>
    <r>
      <rPr>
        <b/>
        <sz val="11"/>
        <color rgb="FF000000"/>
        <rFont val="Aptos Narrow"/>
        <scheme val="minor"/>
      </rPr>
      <t>SS3:</t>
    </r>
    <r>
      <rPr>
        <sz val="11"/>
        <color rgb="FF000000"/>
        <rFont val="Aptos Narrow"/>
        <scheme val="minor"/>
      </rPr>
      <t xml:space="preserve"> List of data fields the rule applies to
</t>
    </r>
    <r>
      <rPr>
        <b/>
        <sz val="11"/>
        <color rgb="FF000000"/>
        <rFont val="Aptos Narrow"/>
        <scheme val="minor"/>
      </rPr>
      <t>SS4:</t>
    </r>
    <r>
      <rPr>
        <sz val="11"/>
        <color rgb="FF000000"/>
        <rFont val="Aptos Narrow"/>
        <scheme val="minor"/>
      </rPr>
      <t xml:space="preserve"> Rule condition and business logic
</t>
    </r>
    <r>
      <rPr>
        <b/>
        <sz val="11"/>
        <color rgb="FF000000"/>
        <rFont val="Aptos Narrow"/>
        <scheme val="minor"/>
      </rPr>
      <t xml:space="preserve">SS5: </t>
    </r>
    <r>
      <rPr>
        <sz val="11"/>
        <color rgb="FF000000"/>
        <rFont val="Aptos Narrow"/>
        <scheme val="minor"/>
      </rPr>
      <t xml:space="preserve">Relevant data quality dimension (as outlined in DQM.1.1.1) to which a rule is being assigned to
</t>
    </r>
    <r>
      <rPr>
        <b/>
        <sz val="11"/>
        <color rgb="FF000000"/>
        <rFont val="Aptos Narrow"/>
        <scheme val="minor"/>
      </rPr>
      <t>SS6:</t>
    </r>
    <r>
      <rPr>
        <sz val="11"/>
        <color rgb="FF000000"/>
        <rFont val="Aptos Narrow"/>
        <scheme val="minor"/>
      </rPr>
      <t xml:space="preserve"> Data quality thresholds
</t>
    </r>
    <r>
      <rPr>
        <b/>
        <sz val="11"/>
        <color rgb="FF000000"/>
        <rFont val="Aptos Narrow"/>
        <scheme val="minor"/>
      </rPr>
      <t>SS7:</t>
    </r>
    <r>
      <rPr>
        <sz val="11"/>
        <color rgb="FF000000"/>
        <rFont val="Aptos Narrow"/>
        <scheme val="minor"/>
      </rPr>
      <t xml:space="preserve"> Recommended remediation action (e.g.: rejection, correction, notification)
</t>
    </r>
    <r>
      <rPr>
        <b/>
        <sz val="11"/>
        <color rgb="FF000000"/>
        <rFont val="Aptos Narrow"/>
        <scheme val="minor"/>
      </rPr>
      <t xml:space="preserve">SS8: </t>
    </r>
    <r>
      <rPr>
        <sz val="11"/>
        <color rgb="FF000000"/>
        <rFont val="Aptos Narrow"/>
        <scheme val="minor"/>
      </rPr>
      <t xml:space="preserve">Rule owner (e.g.: business user, business analyst, subject matter expert)
</t>
    </r>
    <r>
      <rPr>
        <b/>
        <sz val="11"/>
        <color rgb="FF000000"/>
        <rFont val="Aptos Narrow"/>
        <scheme val="minor"/>
      </rPr>
      <t>SS9:</t>
    </r>
    <r>
      <rPr>
        <sz val="11"/>
        <color rgb="FF000000"/>
        <rFont val="Aptos Narrow"/>
        <scheme val="minor"/>
      </rPr>
      <t xml:space="preserve"> Data steward (e.g.: IT professional, data architect, data engineer, DBA)</t>
    </r>
  </si>
  <si>
    <t>curl -X POST \
  "https://emc1-cai.dm1-em.informaticacloud.com/active-bpel/public/rt/bHy4RORsmyRlzK8o3vcRmA/P_Implement-DQ1" \
  -H "Content-Type: application/json" \
  -H "Accept: application/json" \
  -d '{
        "in_username": "Unifi_Melfin2",
        "in_password": "Welcome2@1234567"
      }'
RESPONSE:
{
    "Total count of data sources": "167",
    "Total number of tables classified as Critical Data Elements": "322",
    "Total count of columns that are identified as CDEs": "2000",
    "Number of data quality rules have been applied to CDEs": "36",
    "Percentage of CDEs with Accuracy Good": "100",
    "Percentage of CDEs with Accuracy Acceptable": "0",
    "Percentage of CDEs with Accuracy Non Acceptable": "18.266666666666666",
    "Percentage of CDEs with Completeness Good": "100",
    "Percentage of CDEs with Completeness Non Acceptable": "23.28",
    "Percentage of CDEs with Consistency Good": "0",
    "Percentage of CDEs with Consistency Acceptable": "0",
    "Percentage of CDEs with Consistency Non Acceptable": "0",
    "Percentage of CDEs with Timeliness Good": "0",
    "Percentage of CDEs with Timeliness Acceptable": "0",
    "Percentage of CDEs with Timeliness Non Acceptable": "0",
    "Percentage of CDEs with Validity Good": "0",
    "Percentage of CDEs with Validity Acceptable": "0",
    "Percentage of CDEs with Validity Non Acceptable": "23.28",
    "Percentage of CDEs with Uniqueness Good": "0",
    "Percentage of CDEs with Uniqueness Acceptable": "0",
    "Percentage of CDEs with Uniqueness Non Acceptable": "0"
}</t>
  </si>
  <si>
    <t>DQM.2.1.2</t>
  </si>
  <si>
    <t>Data Quality Tool Implementation</t>
  </si>
  <si>
    <t>Has the Entity selected a data quality tool in alignment with the 'Tool Selection Criteria Template', implemented the tool, and conducted data quality assessments in alignment with the 'Data Quality Assessment Template' as provided in the National Data Quality Management Guidelines?
هل قامت الجهة باختيار أداة لجودة البيانات وفقًا لنموذج "معايير اختيار الأدوات"، وتنفيذها، وإجراء تقييمات جودة البيانات وفقًا لنموذج تقييم جودة البيانات الوارد في  الدليل الوطني الإرشادي لإدارة جودة البيانات؟</t>
  </si>
  <si>
    <t>Data Quality Assessment Reports generated by the implemented tool
تقارير تقييم جودة البيانات الصادرة عن الأداة المنفذة</t>
  </si>
  <si>
    <r>
      <rPr>
        <sz val="11"/>
        <color rgb="FF000000"/>
        <rFont val="Aptos Narrow"/>
        <scheme val="minor"/>
      </rPr>
      <t xml:space="preserve">The Entity shall implement a data quality tool aligned with the Entity’s architecture. The tool shall, at a minimum, support the implementation of the following:
</t>
    </r>
    <r>
      <rPr>
        <b/>
        <sz val="11"/>
        <color rgb="FF000000"/>
        <rFont val="Aptos Narrow"/>
        <scheme val="minor"/>
      </rPr>
      <t>SS1:</t>
    </r>
    <r>
      <rPr>
        <sz val="11"/>
        <color rgb="FF000000"/>
        <rFont val="Aptos Narrow"/>
        <scheme val="minor"/>
      </rPr>
      <t xml:space="preserve"> Automated data profiling (i.e.: support continuous analysis of data to understand and detect anomalies)
</t>
    </r>
    <r>
      <rPr>
        <b/>
        <sz val="11"/>
        <color rgb="FF000000"/>
        <rFont val="Aptos Narrow"/>
        <scheme val="minor"/>
      </rPr>
      <t>SS2:</t>
    </r>
    <r>
      <rPr>
        <sz val="11"/>
        <color rgb="FF000000"/>
        <rFont val="Aptos Narrow"/>
        <scheme val="minor"/>
      </rPr>
      <t xml:space="preserve"> Creating the data quality rules (as defined in DQM.2.1.1)
</t>
    </r>
    <r>
      <rPr>
        <b/>
        <sz val="11"/>
        <color rgb="FF000000"/>
        <rFont val="Aptos Narrow"/>
        <scheme val="minor"/>
      </rPr>
      <t>SS3:</t>
    </r>
    <r>
      <rPr>
        <sz val="11"/>
        <color rgb="FF000000"/>
        <rFont val="Aptos Narrow"/>
        <scheme val="minor"/>
      </rPr>
      <t xml:space="preserve"> Conducting data quality assessment by executing the defined data quality rules
</t>
    </r>
    <r>
      <rPr>
        <b/>
        <sz val="11"/>
        <color rgb="FF000000"/>
        <rFont val="Aptos Narrow"/>
        <scheme val="minor"/>
      </rPr>
      <t>SS4:</t>
    </r>
    <r>
      <rPr>
        <sz val="11"/>
        <color rgb="FF000000"/>
        <rFont val="Aptos Narrow"/>
        <scheme val="minor"/>
      </rPr>
      <t xml:space="preserve"> Generate data quality assessment reports containing the list of data quality issues identified</t>
    </r>
  </si>
  <si>
    <t>curl -X POST \
  "https://emc1-cai.dm1-em.informaticacloud.com/active-bpel/public/rt/bHy4RORsmyRlzK8o3vcRmA/P_Implement-DQ2" \
  -H "Content-Type: application/json" \
  -H "Accept: application/json" \
  -d '{
        "in_username": "Unifi_Melfin2",
        "in_password": "Melfin@unifidata20",
        "dynamic_body": "{\"from\":0,\"size\":100}"
      }'
RESPONSE:
{
    "Count of DQ rules with criticality value Low": "0",
    "Count of DQ rules with criticality value Medium": "86",
    "Count of DQ rules with criticality value High": "9",
    "Percentage distribution of CDEs across accuracy": "59.133333333333326",
    "Percentage distribution of CDEs across Completeness": "50.005",
    "Percentage distribution of CDEs across Validity": "59.133333333333326",
    "Percentage distribution of CDEs across Consistency": "0",
    "Percentage distribution of CDEs across Timeliness": "0",
    "Percentage distribution of CDEs across Uniqueness": "0",
    "Total number of data quality rules related to Accuracy for CDE": "26",
    "Total number of data quality rules related to Completeness for CDE": "5",
    "Total number of data quality rules related to Validity for CDE": "4",
    "Total number of data quality rules related to Consistency for CDE": "0",
    "Total number of data quality rules related to Timeliness for CDE": "1",
    "Total number of data quality rules related to Uniqueness for CDE": "0"
}</t>
  </si>
  <si>
    <t>DQM.2.1.3</t>
  </si>
  <si>
    <t>Has the Entity enhanced its data quality tooling capabilities to support automated data cleansing, API integrations, issue logging, and collaboration among data stewards?
هل عززت الجهة قدرات أدوات جودة البيانات لدعم التنقية التلقائية للبيانات، تكاملات  تسجيل المشكلات، وتعزيز التعاون بين مسؤولي البيانات؟</t>
  </si>
  <si>
    <t>Tool version upgrade logs
Feature release notes
سجلات تحديثات إصدارات الأداة
ملاحظات إصدار الميزات الجديدة</t>
  </si>
  <si>
    <t>C2: Limited Access
C1: Internal</t>
  </si>
  <si>
    <r>
      <rPr>
        <sz val="11"/>
        <color rgb="FF000000"/>
        <rFont val="Aptos Narrow"/>
        <scheme val="minor"/>
      </rPr>
      <t xml:space="preserve">The Entity shall enhance its data quality tooling capabilities to support the following:
</t>
    </r>
    <r>
      <rPr>
        <b/>
        <sz val="11"/>
        <color rgb="FF000000"/>
        <rFont val="Aptos Narrow"/>
        <scheme val="minor"/>
      </rPr>
      <t>SS1:</t>
    </r>
    <r>
      <rPr>
        <sz val="11"/>
        <color rgb="FF000000"/>
        <rFont val="Aptos Narrow"/>
        <scheme val="minor"/>
      </rPr>
      <t xml:space="preserve"> Automated data cleansing and standardization (i.e.: rules for cleansing and standardizing data to remove duplicates, correct the format of a data field, etc.)
</t>
    </r>
    <r>
      <rPr>
        <b/>
        <sz val="11"/>
        <color rgb="FF000000"/>
        <rFont val="Aptos Narrow"/>
        <scheme val="minor"/>
      </rPr>
      <t>SS2:</t>
    </r>
    <r>
      <rPr>
        <sz val="11"/>
        <color rgb="FF000000"/>
        <rFont val="Aptos Narrow"/>
        <scheme val="minor"/>
      </rPr>
      <t xml:space="preserve"> API integration support (i.e.: facilitate integration with external systems through APIs)
</t>
    </r>
    <r>
      <rPr>
        <b/>
        <sz val="11"/>
        <color rgb="FF000000"/>
        <rFont val="Aptos Narrow"/>
        <scheme val="minor"/>
      </rPr>
      <t>SS3:</t>
    </r>
    <r>
      <rPr>
        <sz val="11"/>
        <color rgb="FF000000"/>
        <rFont val="Aptos Narrow"/>
        <scheme val="minor"/>
      </rPr>
      <t xml:space="preserve"> Data quality issue logging (i.e.: to record data quality issues and track workflow)
</t>
    </r>
    <r>
      <rPr>
        <b/>
        <sz val="11"/>
        <color rgb="FF000000"/>
        <rFont val="Aptos Narrow"/>
        <scheme val="minor"/>
      </rPr>
      <t>SS4:</t>
    </r>
    <r>
      <rPr>
        <sz val="11"/>
        <color rgb="FF000000"/>
        <rFont val="Aptos Narrow"/>
        <scheme val="minor"/>
      </rPr>
      <t xml:space="preserve"> Collaboration Features (i.e.: support collaboration and communication among data stewards and stakeholders)</t>
    </r>
  </si>
  <si>
    <t>DQM.2.1.4</t>
  </si>
  <si>
    <t>Has the Entity implemented AI-powered data quality management features such as AI/ML-driven rule generation?
هل قامت الجهة بتنفيذ ميزات إدارة جودة البيانات المدعومة بالذكاء الاصطناعي، مثل إنشاء القواعد باستخدام الذكاء الاصطناعي والتعلم الآلي (AI/ML)؟</t>
  </si>
  <si>
    <t>Insights generated by AI/ML features
الرؤى المستخلصة من ميزات الذكاء الاصطناعي/التعلم الآلي</t>
  </si>
  <si>
    <t>Very Advanced</t>
  </si>
  <si>
    <r>
      <rPr>
        <sz val="11"/>
        <color rgb="FF000000"/>
        <rFont val="Aptos Narrow"/>
        <scheme val="minor"/>
      </rPr>
      <t xml:space="preserve">The Entity shall further enhance its data quality tooling capabilities to support the following:
</t>
    </r>
    <r>
      <rPr>
        <b/>
        <sz val="11"/>
        <color rgb="FF000000"/>
        <rFont val="Aptos Narrow"/>
        <scheme val="minor"/>
      </rPr>
      <t>SS1:</t>
    </r>
    <r>
      <rPr>
        <sz val="11"/>
        <color rgb="FF000000"/>
        <rFont val="Aptos Narrow"/>
        <scheme val="minor"/>
      </rPr>
      <t xml:space="preserve"> AI Powered Data Quality Management (i.e.: providing an AI/ML approach to data quality management such as AI-powered rules for automatically generating common data quality rules)</t>
    </r>
  </si>
  <si>
    <t>DQM.3.1</t>
  </si>
  <si>
    <t xml:space="preserve"> Data Quality Issue Management</t>
  </si>
  <si>
    <t>DQM.3.1.1</t>
  </si>
  <si>
    <t>Data Quality Issues Management &amp; Remediation Process</t>
  </si>
  <si>
    <t>Has the Entity identified, documented, and actively remediated data quality issues in alignment with the 'Data Quality Issues Management Register Template' and 'Data Quality Remediation Plan Template' as provided in the National Data Quality Management Guidelines?
هل قامت الجهة بتحديد وتوثيق ومعالجة مشكلات جودة البيانات بشكل نشط وفقًا لنموذج سجل إدارة مشكلات جودة البيانات ونموذج خطة معالجة جودة البيانات الواردين في  الدليل الوطني الإرشادي لإدارة جودة البيانات؟</t>
  </si>
  <si>
    <t>Data Quality Issues Management Register
Data Quality Remediation Plan
سجل إدارة مشكلات جودة البيانات
خطة معالجة مشكلات جودة البيانات</t>
  </si>
  <si>
    <r>
      <rPr>
        <sz val="11"/>
        <color rgb="FF000000"/>
        <rFont val="Aptos Narrow"/>
        <scheme val="minor"/>
      </rPr>
      <t xml:space="preserve">The Entity shall design and implement a process for on-going data quality issue management and remediation. The process shall include, at a minimum:
</t>
    </r>
    <r>
      <rPr>
        <b/>
        <sz val="11"/>
        <color rgb="FF000000"/>
        <rFont val="Aptos Narrow"/>
        <scheme val="minor"/>
      </rPr>
      <t>SS1:</t>
    </r>
    <r>
      <rPr>
        <sz val="11"/>
        <color rgb="FF000000"/>
        <rFont val="Aptos Narrow"/>
        <scheme val="minor"/>
      </rPr>
      <t xml:space="preserve"> Prioritization of data quality issues based on their impact on business processes
</t>
    </r>
    <r>
      <rPr>
        <b/>
        <sz val="11"/>
        <color rgb="FF000000"/>
        <rFont val="Aptos Narrow"/>
        <scheme val="minor"/>
      </rPr>
      <t>SS2:</t>
    </r>
    <r>
      <rPr>
        <sz val="11"/>
        <color rgb="FF000000"/>
        <rFont val="Aptos Narrow"/>
        <scheme val="minor"/>
      </rPr>
      <t xml:space="preserve"> Conducting root cause analysis of data quality issues (e.g.: by examining symptoms, tracing data lineage, and pinpointing root causes)
</t>
    </r>
    <r>
      <rPr>
        <b/>
        <sz val="11"/>
        <color rgb="FF000000"/>
        <rFont val="Aptos Narrow"/>
        <scheme val="minor"/>
      </rPr>
      <t>SS3:</t>
    </r>
    <r>
      <rPr>
        <sz val="11"/>
        <color rgb="FF000000"/>
        <rFont val="Aptos Narrow"/>
        <scheme val="minor"/>
      </rPr>
      <t xml:space="preserve"> Formulating remediation options based on the root cause analysis (e.g.: by addressing non-technical root causes such as training, leadership support, accountability, modifying systems to eliminate technical root causes, developing preventive controls, and directly correcting flawed data)
</t>
    </r>
    <r>
      <rPr>
        <b/>
        <sz val="11"/>
        <color rgb="FF000000"/>
        <rFont val="Aptos Narrow"/>
        <scheme val="minor"/>
      </rPr>
      <t>SS4:</t>
    </r>
    <r>
      <rPr>
        <sz val="11"/>
        <color rgb="FF000000"/>
        <rFont val="Aptos Narrow"/>
        <scheme val="minor"/>
      </rPr>
      <t xml:space="preserve"> Resolving data quality issues once the remediation options are identified</t>
    </r>
  </si>
  <si>
    <t>curl -X POST \
  "https://emc1-cai.dm1-em.informaticacloud.com/active-bpel/public/rt/bHy4RORsmyRlzK8o3vcRmA/P_Operate-DQ1" \
  -H "Content-Type: application/json" \
  -H "Accept: application/json" \
  -d '{
        "in_username": "Unifi_Melfin2",
        "in_password": "Welcome2@1234567"
      }'
RESPONSE:
{
    "Count of tickets raised for Data Quality Failure": "0",
    "Count of tickets raised for Data Quality Failure which are in open state": "0",
    "Count of tickets raised for Data Quality Failure which are in resolved state": "0",
    "Count of tickets raised for Data Quality Failure which are in progress state": "0",
    "Count of tickets raised for Data Quality Failure which are in Cancelled state": "0",
    "Data Quality Accuracy Percentage for CDEs": "59.133333333333326",
    "Data Quality Uniqueness Percentage for CDEs": "0",
    "Data Quality Consistency Percentage for CDEs": "0",
    "Data Quality Completeness Percentage for CDEs": "50.005",
    "Data Quality Timeliness Percentage for CDEs": "0",
    "Data Quality Validity Percentage for CDEs": "59.133333333333326"
}</t>
  </si>
  <si>
    <t>DQM.3.2</t>
  </si>
  <si>
    <t xml:space="preserve"> Data Quality Performance Management</t>
  </si>
  <si>
    <t>DQM.3.2.1</t>
  </si>
  <si>
    <t>Data Quality KPIs</t>
  </si>
  <si>
    <t>Has the Entity defined and documented Data Quality KPIs to measure data quality levels and trends?
هل قامت الجهة بتحديد وتوثيق مؤشرات الأداء الرئيسية  لجودة البيانات لقياس مستويات الجودة والاتجاهات؟</t>
  </si>
  <si>
    <t>List of defined and documented Data Quality KPIs
قائمة بمؤشرات الأداء الرئيسية  المحددة والموثقة لجودة البيانات</t>
  </si>
  <si>
    <r>
      <rPr>
        <sz val="11"/>
        <color rgb="FF000000"/>
        <rFont val="Aptos Narrow"/>
        <scheme val="minor"/>
      </rPr>
      <t xml:space="preserve">The Entity shall establish key performance indicators (KPIs) to measure and report on the Entity's Data Quality trends and guide continuous improvement initiatives. KPIs shall include, at minimum:
</t>
    </r>
    <r>
      <rPr>
        <b/>
        <sz val="11"/>
        <color rgb="FF000000"/>
        <rFont val="Aptos Narrow"/>
        <scheme val="minor"/>
      </rPr>
      <t>SS1:</t>
    </r>
    <r>
      <rPr>
        <sz val="11"/>
        <color rgb="FF000000"/>
        <rFont val="Aptos Narrow"/>
        <scheme val="minor"/>
      </rPr>
      <t xml:space="preserve"> Data quality levels across the established data quality dimensions
</t>
    </r>
    <r>
      <rPr>
        <b/>
        <sz val="11"/>
        <color rgb="FF000000"/>
        <rFont val="Aptos Narrow"/>
        <scheme val="minor"/>
      </rPr>
      <t>SS2:</t>
    </r>
    <r>
      <rPr>
        <sz val="11"/>
        <color rgb="FF000000"/>
        <rFont val="Aptos Narrow"/>
        <scheme val="minor"/>
      </rPr>
      <t xml:space="preserve"> Number of data quality rules
</t>
    </r>
    <r>
      <rPr>
        <b/>
        <sz val="11"/>
        <color rgb="FF000000"/>
        <rFont val="Aptos Narrow"/>
        <scheme val="minor"/>
      </rPr>
      <t>SS3:</t>
    </r>
    <r>
      <rPr>
        <sz val="11"/>
        <color rgb="FF000000"/>
        <rFont val="Aptos Narrow"/>
        <scheme val="minor"/>
      </rPr>
      <t xml:space="preserve"> Data quality rule compliance
</t>
    </r>
    <r>
      <rPr>
        <b/>
        <sz val="11"/>
        <color rgb="FF000000"/>
        <rFont val="Aptos Narrow"/>
        <scheme val="minor"/>
      </rPr>
      <t>SS4:</t>
    </r>
    <r>
      <rPr>
        <sz val="11"/>
        <color rgb="FF000000"/>
        <rFont val="Aptos Narrow"/>
        <scheme val="minor"/>
      </rPr>
      <t xml:space="preserve"> Number and percentage of data quality issues reported
</t>
    </r>
    <r>
      <rPr>
        <b/>
        <sz val="11"/>
        <color rgb="FF000000"/>
        <rFont val="Aptos Narrow"/>
        <scheme val="minor"/>
      </rPr>
      <t>SS5:</t>
    </r>
    <r>
      <rPr>
        <sz val="11"/>
        <color rgb="FF000000"/>
        <rFont val="Aptos Narrow"/>
        <scheme val="minor"/>
      </rPr>
      <t xml:space="preserve"> Number and percentage of data quality issues resolved
</t>
    </r>
    <r>
      <rPr>
        <b/>
        <sz val="11"/>
        <color rgb="FF000000"/>
        <rFont val="Aptos Narrow"/>
        <scheme val="minor"/>
      </rPr>
      <t>SS6:</t>
    </r>
    <r>
      <rPr>
        <sz val="11"/>
        <color rgb="FF000000"/>
        <rFont val="Aptos Narrow"/>
        <scheme val="minor"/>
      </rPr>
      <t xml:space="preserve"> Average age of open data quality issues (in days)
</t>
    </r>
    <r>
      <rPr>
        <b/>
        <sz val="11"/>
        <color rgb="FF000000"/>
        <rFont val="Aptos Narrow"/>
        <scheme val="minor"/>
      </rPr>
      <t>SS7:</t>
    </r>
    <r>
      <rPr>
        <sz val="11"/>
        <color rgb="FF000000"/>
        <rFont val="Aptos Narrow"/>
        <scheme val="minor"/>
      </rPr>
      <t xml:space="preserve"> Number and percentage of escalated data quality issues</t>
    </r>
  </si>
  <si>
    <t>curl -X POST \
  "https://emc1-cai.dm1-em.informaticacloud.com/active-bpel/public/rt/bHy4RORsmyRlzK8o3vcRmA/P_Operate-DQ2" \
  -H "Content-Type: application/json" \
  -H "Accept: application/json" \
  -d '{
        "in_username": "Unifi_Melfin2",
        "in_password": "Welcome2@1234567"
      }'
RESPONSE:
{
    "Total count of data elements": "6716",
    "Count of Data Elements Related to DQ rule": "52",
    "Percentage of data elements with DQ threshold": "0.774",
    "Count of tickets raised for Data Quality Failure": "0",
    "Percentage of tickets in Progress status raised for data quality failures": "NaN",
    "Percentage of tickets in Resolved status raised for data quality failures": "NaN",
    "Percentage of tickets in Open status raised for data quality failures": "NaN",
    "Percentage of tickets in Cancelled status raised for data quality failures": "NaN",
    "Count of business term which has the score card": "52",
    "Total number of domain": "1",
    "Count of domains which data quality implemented": "1",
    "Percentage of Domains with Data Quality Implemented": "100.000",
    "Average Duration of Open Data Quality Tickets in Days": "0"
}</t>
  </si>
  <si>
    <t>DQM.3.2.2</t>
  </si>
  <si>
    <t>Data Quality Monitoring &amp; Reporting</t>
  </si>
  <si>
    <t xml:space="preserve">Has the Entity implemented Data Quality Monitoring &amp; Reporting mechanisms to track the entity's data quality performance in alignment with the Data Quality scorecards and dashboard templates as provided in the National Data Quality Management Guidelines?
هل قامت الجهة بتطبيق آليات مراقبة جودة البيانات وإعداد التقارير لتتبع أداء جودة البيانات، بما يتماشى مع نماذج لوحات مؤشرات جودة البيانات الواردة في الدليل الوطني الإرشادي لإدارة جودة البيانات؟
</t>
  </si>
  <si>
    <t>Data quality scorecards and dashboards
لوحات معلومات وبطاقات قياس جودة البيانات</t>
  </si>
  <si>
    <t>The Entity shall monitor and report on the Entity's data quality based on the defined Data Quality rules and KPIs. This shall include, at a minimum:
SS1: Data quality dashboards to track, analyze, and display data in an aggregated format to gain deeper insight on the overall performance and trends across data quality KPIs
SS2: Data quality scorecard report providing a high-level view comparison of data quality rules with the thresholds, highlighting areas which do not meet the thresholds (e.g.: with red-yellow-green colors)</t>
  </si>
  <si>
    <t>curl -X POST \
  "https://emc1-cai.dm1-em.informaticacloud.com/active-bpel/public/rt/bHy4RORsmyRlzK8o3vcRmA/P_Operate-DQ3" \
  -H "Content-Type: application/json" \
  -H "Accept: application/json" \
  -d '{
        "in_username": "Unifi_Melfin2",
        "in_password": "Welcome2@1234567"
      }'
RESPONSE:
{
    "Total number of Dataset": "588",
    "Total number of Business Term": "302",
    "Total number of System": "54",
    "Total number of Process": "18",
    "Total number of metric": "5",
    "Total number of Subdomain": "4",
    "Total number of Domain": "1",
    "Total number of Policy": "1",
    "Total number of catalog source": "166",
    "Total number of data quality rules related to accuracy for CDE": "26",
    "Total number of data quality rules related to Completeness for CDE": "5",
    "Total number of data quality rules related to Consistency for CDE": "0",
    "Total number of data quality rules related to Validity for CDE": "4",
    "Total number of data quality rules related to Timeliness for CDE": "1",
    "Total number of data quality rules related to Uniqueness for CDE": "0",
    "Count of domains which data quality implemented": "1",
    "Count of Sub domains which data quality implemented": "4",
    "Total Number of Business Terms with Stakeholder": "31"
}</t>
  </si>
  <si>
    <t>DQM.3.2.3</t>
  </si>
  <si>
    <t>Has the Entity enhanced its data quality monitoring and reporting capabilities?
هل قامت الجهة بتعزيز قدراتها في مراقبة جودة البيانات وإعداد التقارير؟</t>
  </si>
  <si>
    <t>Implementation proof of process control reports, quality gate reports, and automated alerts for data quality issues
إثبات تنفيذ تقارير مراقبة العمليات، وتقارير بوابات الجودة، والتنبيهات الآلية لمشكلات جودة البيانات</t>
  </si>
  <si>
    <t>The Entity shall enhance its data quality monitoring and reporting capabilities as follows:
SS1: Generating process control reports, primarily for use by data engineers. The reports will include custom reports (e.g.: for monitoring quality checks during data processing, based on operational metadata) or quality gate reports (e.g.: for capturing key business KPIs and ensuring data consistency across various data layers in the data warehouse or data lake)
SS2: Generating automated Alerts and Notifications by implementing a system/ dashboard that automatically alerts data stewards and owners when data quality issues are detected or when certain thresholds are breached</t>
  </si>
  <si>
    <t>curl -X POST \
  "https://emc1-cai.dm1-em.informaticacloud.com/active-bpel/public/rt/bHy4RORsmyRlzK8o3vcRmA/P_Operate-DQ4" \
  -H "Content-Type: application/json" \
  -H "Accept: application/json" \
  -d '{
        "in_username": "Unifi_Melfin2",
        "in_password": "Welcome2@1234567"
      }'
RESPONSE:
{
    "Count of tickets raised for Data Quality Failure": "0",
    "Count of tickets raised for Data Quality Failure which are in open state": "0",
    "Count of tickets raised for Data Quality Failure which are in resolved state": "0",
    "Count of tickets raised for Data Quality Failure which are in progress state": "0",
    "Count of tickets raised for Data Quality Failure which are in Cancelled state": "0",
    "Data Quality Accuracy Percentage for CDEs": "59.133333333333326",
    "Data Quality Uniqueness Percentage for CDEs": "0",
    "Data Quality Consistency Percentage for CDEs": "0",
    "Data Quality Completeness Percentage for CDEs": "50.005",
    "Data Quality Timeliness Percentage for CDEs": "0",
    "Data Quality Validity Percentage for CDEs": "59.133333333333326"
}</t>
  </si>
  <si>
    <t>DQM.3.2.4</t>
  </si>
  <si>
    <t>Data Quality SLAs</t>
  </si>
  <si>
    <t>Has the Entity established and documented Data Quality SLAs in alignment with the 'Data Quality SLAs template' as provided in the National Data Quality Management Guidelines?
هل قامت الجهة بوضع وتوثيق اتفاقيات مستوى الخدمة  لجودة البيانات بما يتماشى مع نموذج اتفاقيات مستوى الخدمة لجودة البيانات الوارد في إرشادات إدارة جودة البيانات الوطنية؟</t>
  </si>
  <si>
    <t>Data Quality SLA document
وثيقة اتفاقية مستوى الخدمة  لجودة البيانات</t>
  </si>
  <si>
    <t>The Entity shall establish and implement service-level agreements (SLAs) for business-critical data quality issues. The SLAs shall include, at a minimum:
SS1: Data elements covered by the agreement
SS2: Business impacts associated with data flaws
SS3: Data Quality dimensions and business rules associated with each data element
SS4: Methods for measuring against those expectations
SS5: Acceptability threshold for each measurement
SS6: Steward(s) to be notified in case the acceptability threshold is not met
SS7: Timelines and deadlines for expected resolution or remediation of the issue
SS8: Escalation process when the SLA is not met</t>
  </si>
  <si>
    <t>curl -X POST \
  "https://emc1-cai.dm1-em.informaticacloud.com/active-bpel/public/rt/bHy4RORsmyRlzK8o3vcRmA/P_Operate-DQ5" \
  -H "Content-Type: application/json" \
  -H "Accept: application/json" \
  -d '{
        "in_username": "Unifi_Melfin2",
        "in_password": "Welcome2@1234567"
      }'
RESPONSE:
{
    "Count of tickets raised for Data Quality Failure": "0",
    "Count of tickets raised for Data Quality Failure which are in open state": "0",
    "Count of tickets raised for Data Quality Failure which are in resolved state": "0",
    "Count of tickets raised for Data Quality Failure which are in progress state": "0",
    "Count of tickets raised for Data Quality Failure which are in Cancelled state": "0",
    "Total count of data elements": "6716",
    "Total number of data elements linked with business terms": "2000",
    "Total number of data elements Not linked with business terms": "2000",
    "Total number of business terms which are CDE": "278",
    "Total number of data elements linked with dq rule which has threshold result as not acceptable": "26",
    "Total number of data quality rules related to accuracy": "39",
    "Total number of data quality rules related to completeness": "20",
    "Total number of data quality rules related to consistency": "8",
    "Total number of data quality rules related to Timeliness": "4",
    "Total number of data quality rules related to uniqueness": "1",
    "Total number of data quality rules related to validity": "23",
    "Average accuracy score for the DQ rule": "67.88904761904762",
    "Average Completeness score for the DQ rule": "47.13428571428572",
    "Average Consistency score for the DQ rule": "93.31",
    "Average Validity score for the DQ rule": "54.6959090909091",
    "Average Timeliness score for the DQ rule": "93.31",
    "Average Uniqueness score for the DQ rule": "100",
    "Average Resolution Time for Data Quality Failure Tickets": "NaN"
}</t>
  </si>
  <si>
    <t>DQM.3.2.5</t>
  </si>
  <si>
    <t>Has the Entity implemented an automated system to monitor SLA compliance and trigger notifications when SLAs are breached?
هل قامت الجهة بتنفيذ نظام آلي لمراقبة الامتثال لاتفاقيات مستوى الخدمة (SLAs) وإرسال إشعارات في حالة حدوث أي خروقات؟</t>
  </si>
  <si>
    <t xml:space="preserve">Implementation proof of an automated SLA monitoring system
إثبات تنفيذ نظام آلي لمراقبة الامتثال لاتفاقيات مستوى الخدمة </t>
  </si>
  <si>
    <t>The Entity shall enhance its data quality SLAs capabilities as follows:
SS1: Automate the monitoring of SLAs by implementing a system that automatically monitor compliance with SLAs
SS2: Generate automated notifications and actions by implementing systems that automatically trigger emails or notifications to relevant stakeholders if SLAs are breached</t>
  </si>
  <si>
    <t>curl -X POST \
  "https://emc1-cai.dm1-em.informaticacloud.com/active-bpel/public/rt/bHy4RORsmyRlzK8o3vcRmA/P_Operate-DQ6" \
  -H "Content-Type: application/json" \
  -H "Accept: application/json" \
  -d '{
        "in_username": "Unifi_Melfin2",
        "in_password": "Welcome2@1234567"
      }'
RESPONSE:
{
    "Count of tickets raised for Data Quality Failure": "0",
    "Count of tickets raised for Data Quality Failure which are in open state": "0",
    "Count of tickets raised for Data Quality Failure which are in resolved state": "0",
    "Count of tickets raised for Data Quality Failure which are in progress state": "0",
    "Count of tickets raised for Data Quality Failure which are in Cancelled state": "0"
}</t>
  </si>
  <si>
    <t>DAM.1.1</t>
  </si>
  <si>
    <t xml:space="preserve"> Data Architecture &amp; Modeling Assessment &amp; Planning</t>
  </si>
  <si>
    <t>DAM.1.1.1</t>
  </si>
  <si>
    <t xml:space="preserve"> Data Architecture Plan</t>
  </si>
  <si>
    <t>Has the Entity aligned its high-level architecture objectives with business and regulatory priorities, defined scope and architectural domains, identified key stakeholders and responsibilities, and organized a structured kick-off meeting?
هل قامت الجهة بمواءمة أهدافها الهيكلية رفيعة المستوى مع الأولويات التنظيمية والتشريعية، وتحديد النطاق والمجالات الهيلية، وتحديد الجهات المعنية الرئيسيين ومسؤولياتهم، وتنظيم اجتماع افتتاحي منظم؟</t>
  </si>
  <si>
    <t>Documentation of high-level objectives, identified stakeholders and proof of kick-off meeting
وثيقة توثيق الأهداف رفيعة المستوى، والجهات المعنية المحددين، وإثبات عقد الاجتماع التدشيني</t>
  </si>
  <si>
    <r>
      <rPr>
        <sz val="11"/>
        <color rgb="FF000000"/>
        <rFont val="Aptos Narrow"/>
        <scheme val="minor"/>
      </rPr>
      <t xml:space="preserve">The Entity shall establish and adopt a comprehensive enterprise-level system and data architecture process within a recognized Enterprise Architecture Framework, such as the Open Group Architecture Framework (TOGAF). The high-level data architecture development process shall consider and include, at a minimum:
</t>
    </r>
    <r>
      <rPr>
        <b/>
        <sz val="11"/>
        <color rgb="FF000000"/>
        <rFont val="Aptos Narrow"/>
        <scheme val="minor"/>
      </rPr>
      <t>SS1.</t>
    </r>
    <r>
      <rPr>
        <sz val="11"/>
        <color rgb="FF000000"/>
        <rFont val="Aptos Narrow"/>
        <scheme val="minor"/>
      </rPr>
      <t xml:space="preserve">Current System Data Architectures: Documenting the architecture of existing information systems containing data
</t>
    </r>
    <r>
      <rPr>
        <b/>
        <sz val="11"/>
        <color rgb="FF000000"/>
        <rFont val="Aptos Narrow"/>
        <scheme val="minor"/>
      </rPr>
      <t>SS2.</t>
    </r>
    <r>
      <rPr>
        <sz val="11"/>
        <color rgb="FF000000"/>
        <rFont val="Aptos Narrow"/>
        <scheme val="minor"/>
      </rPr>
      <t xml:space="preserve">Current Enterprise Data Architecture: Integrating inputs from key system architectures to outline the current state at the enterprise level
</t>
    </r>
    <r>
      <rPr>
        <b/>
        <sz val="11"/>
        <color rgb="FF000000"/>
        <rFont val="Aptos Narrow"/>
        <scheme val="minor"/>
      </rPr>
      <t>SS3.</t>
    </r>
    <r>
      <rPr>
        <sz val="11"/>
        <color rgb="FF000000"/>
        <rFont val="Aptos Narrow"/>
        <scheme val="minor"/>
      </rPr>
      <t xml:space="preserve">Target Enterprise Data Architecture: Outlining the desired future state of analytical enterprise data architecture across the Entity
</t>
    </r>
    <r>
      <rPr>
        <b/>
        <sz val="11"/>
        <color rgb="FF000000"/>
        <rFont val="Aptos Narrow"/>
        <scheme val="minor"/>
      </rPr>
      <t>SS4.</t>
    </r>
    <r>
      <rPr>
        <sz val="11"/>
        <color rgb="FF000000"/>
        <rFont val="Aptos Narrow"/>
        <scheme val="minor"/>
      </rPr>
      <t>Target System Data Architectures: Designing system architectures influenced by the roadmap to bridge identified gaps. The Entity should plan to update and maintain these architectures throughout the software development lifecycle and validate them during governance checkpoints</t>
    </r>
  </si>
  <si>
    <t>DAM.1.1.2</t>
  </si>
  <si>
    <t xml:space="preserve"> Data Modeling Guidelines &amp; Methodology</t>
  </si>
  <si>
    <t>Has the Entity developed data modeling guidelines and methodologies to ensure a consistent and standardized approach to data modeling across the organization, in alignment with the 'NPC Data Modeling Guidelines' as provided in the National Data Architecture &amp; Modeling Guidelines?
هل قامت الجهة بتطوير إرشادات ومنهجيات نمذجة البيانات لضمان اتباع نهج موحد ومعياري في نمذجة البيانات على مستوى الجهة، بما يتماشى مع "إرشادات المجلس الوطني للتخطيط لنمذجة بيانات " الواردة في الدليل الوطني الإرشادي لهيكلة البيانات ونمذجتها؟</t>
  </si>
  <si>
    <t xml:space="preserve"> Data Modeling Guidelines Documents
وثائق إرشادات نمذجة البيانات
</t>
  </si>
  <si>
    <t>The Entity shall develop and document comprehensive data modeling guidelines and methodologies to ensure a consistent and standardized approach to data modeling across the organization. These guidelines and methodologies shall include, at a minimum:
Establish and document principles and best practices for developing conceptual, logical, and physical data models
Define standards for creating and maintaining data models, including naming conventions, data types, and relationships
Provide guidelines on various modeling techniques, such as entity-relationship diagrams and other tools to represent data structures
Ensure that data models are integrated with the overall data architecture to support business objectives
Establish procedures for version control and detailed documentation of data models
Integrate data modeling guidelines with data governance and quality management processes to ensure accuracy and consistency
Implement a regular review and update process to keep the guidelines and methodologies current and relevant
Reference international standards and best practices for data modeling to ensure global alignment</t>
  </si>
  <si>
    <t>DAM.1.1.3</t>
  </si>
  <si>
    <t xml:space="preserve"> Baseline Data Architecture Assessment</t>
  </si>
  <si>
    <t xml:space="preserve">Has the Entity documented the current state of its data architecture and data models, in alignment with all the data architecture and modeling templates as provided in the National Data Architecture &amp; Modeling Guidelines?
هل قامت الجهة بتوثيق الحالة الحالية لهيكلة البيانات ونماذج البيانات الخاصة بها، بما يتماشى مع جميع القوالب الخاصة بهيكلة البيانات والنمذجة الواردة في الدليل الوطني الإرشادي لهيكلة البيانات ونمذجتها؟
</t>
  </si>
  <si>
    <t>Current Data &amp; Analytics Landscape Document
Integration Points Documentation
Current Baseline Data Architecture Diagram
Fact &amp; Dimension Tables Inventory (for current)
Data Lineage Documentation
Current Baseline Analytical Data Model Diagram
وثيقة المشهد الحالي للبيانات والتحليلات
توثيق نقاط التكامل
مخطط هيكلة البيانات الأساسية الحالية
جرد جداول الحقائق والأبعاد (للوضع الحالي)
توثيق سلالة البيانات
مخطط نموذج البيانات التحليلية الأساسية الحالية</t>
  </si>
  <si>
    <t>C2: Limited Access
C2: Limited Access
C2: Limited Access
C2: Limited Access
C2: Limited Access
C2: Limited Access</t>
  </si>
  <si>
    <t>The Entity shall establish its current baseline Data Architecture. The current state Data and Technical architecture should include, at a minimum:
Data Model: The Entity's existing Enterprise Data Model, detailed at the Conceptual, Logical, and Physical levels. Each level should cover, at a minimum:
Conceptual Model: Identification of key business entities and their relationships, organized into business subject areas.
Logical Model: An extension of the conceptual model, incorporating attributes for business entities and adding less significant entities and relationships.
Physical Model: A physical representation of the logical data models within key system components, including physical table names, attribute names, data types, and primary and foreign keys.
Key Processes: The crucial current processes involved in the Entity's ongoing business operations and decision-making.
Key System Components: The essential current applications, data storage solutions, data processing platforms, and data analytics solutions involved in key processes.
Data Flows and Lineage: A visualization of the current data movement across key processes and system components.</t>
  </si>
  <si>
    <t>DAM.1.1.4</t>
  </si>
  <si>
    <t xml:space="preserve"> Target Data Architecture</t>
  </si>
  <si>
    <t xml:space="preserve">Has the Entity developed a target data architecture in alignment with the Entity’s data strategy, key business processes, gaps identified through the data architecture gap analysis, and NPC’s reference architecture?
هل قامت الجهة بتطويرهيكلة بيانات مستهدفة تتماشى مع استراتيجيتها للبيانات، وعمليات الأعمال الرئيسية، والفجوات المحددة من خلال تحليل فجوات هيكلة البيانات، والمرجعية الهيكلية لـلمجلس الوطني للتخطيط؟
</t>
  </si>
  <si>
    <t>Architecture Components Documentation
Integration Points Documentation 
توثيق مكونات الهيكلة
توثيق نقاط التكامل</t>
  </si>
  <si>
    <t>The Entity shall define and develop a comprehensive target data architecture which shall be reviewed and approved at the appropriate governance checkpoints to ensure alignment with the Entity’s overall data strategy and business objectives. The target Data Architecture shall include, at a minimum:
Data Model: The Entity's target Enterprise Data Model at Conceptual, Logical, and Physical levels. Each data model level shall include, at minimum:
Conceptual Model: Identification of key business entities and their relationships, organized into business subject areas
Logical Model: Extension of the conceptual model with attributes for business entities and the inclusion of less significant entities and relationships
Physical Model: Physical representation of logical data models within key system components, including physical table names, attribute names, data types, and primary and foreign keys
Key Processes: Identification of essential target processes involved in ongoing business operations and decision-making
Key System Components: Identification of essential target applications, data storage solutions, data processing platforms, and data analytics solutions involved in key processes
Data Flows and Lineage: Visualization of target data movement across key processes and system components, ensuring a clear understanding of data flow and lineage</t>
  </si>
  <si>
    <t>DAM.1.1.5</t>
  </si>
  <si>
    <t xml:space="preserve"> Data Architecture Gap Analysis</t>
  </si>
  <si>
    <t>Has the Entity conducted data architecture and analytical data model gap analysis in alignment with the Entity's data strategy and data architecture &amp; modeling guidelines?
هل أجرت الجهة تحليل فجوات لهيكلة البيانات ونماذج البيانات التحليلية بما يتماشى مع استراتيجيتها للبيانات وإرشاداتها لهيكلة البيانات والنمذجة؟</t>
  </si>
  <si>
    <t>Data Architecture Gap Analysis Document
Analytical Data Model Gap Assessment
وثيقة تحليل فجوات هيكلة البيانات
تقييم فجوات نموذج البيانات التحليلية</t>
  </si>
  <si>
    <t>The Entity shall conduct a thorough gap analysis between the baseline and target data architectures. This analysis shall, at a minimum:
Identify business data requirements that are currently not being fulfilled
Highlight technical data components that are absent between the baseline and target architectures
Assess gaps in roles, skills, tools, and training required to support the target data architecture</t>
  </si>
  <si>
    <t>DAM.1.1.6</t>
  </si>
  <si>
    <t xml:space="preserve"> Data Architecture Roadmap</t>
  </si>
  <si>
    <t xml:space="preserve">Has the Entity developed a data architecture roadmap to address the identified gaps and support implementation of both long-term initiatives and quick wins to enhance the Entity’s data architecture and modeling capabilities?
هل قامت الجهة بوضع خارطة طريق لهيكلة البيانات لمعالجة الفجوات المحددة، ودعم تنفيذ كلٍّ من المبادرات طويلة الأجل والمكاسب السريعة لتعزيز قدراتها في هيكلة البيانات ونمذجتها؟
</t>
  </si>
  <si>
    <t>Initiatives Cards
Data Architecture Plan Document
بطاقات المبادرات
وثيقة خطة معمارية البيانات</t>
  </si>
  <si>
    <t>Based on the results of the gap analysis, the Entity shall develop a detailed roadmap for guiding the Entity in transitioning from the baseline data architecture to the target data architecture. The roadmap shall, at a minimum:
Include timelines for implementation, budgetary estimates, and required capabilities.
Specify the priority and sequence for changing, upgrading, replacing, or retiring components and systems, while maintaining flexibility to adapt to business priorities.
Undergo periodic review by the Data Committee to ensure alignment with both the baseline and target data architectures, and include an evaluation and justification of changes in priority or exceptions to the roadmap as reviewed by the Data Committee (if applicable).</t>
  </si>
  <si>
    <t>DAM.2.1</t>
  </si>
  <si>
    <t xml:space="preserve"> Data Architecture &amp; Model Design</t>
  </si>
  <si>
    <t>DAM.2.1.1</t>
  </si>
  <si>
    <t xml:space="preserve"> Enterprise Data Model</t>
  </si>
  <si>
    <t>Has the Entity developed a  Analytical Data Model across the three layers (conceptual, logical, physical) and documented the target data lineage to ensure consistency, integration, and reusability of data assets?
هل قامت الجهة بتطوير نموذج بيانات تحليلي عبر المستويات الثلاثة (المفاهيمي، المنطقي، الفعلي) وتوثيق سلالة البيانات المستهدفة لضمان الاتساق والتكامل وقابلية إعادة الاستخدام لأصول البيانات؟</t>
  </si>
  <si>
    <t>Target Conceptual Data Model Diagram
Target Logical Data Model Diagram
Target Physical Data Model Diagram
Target Data Lineage Documentation
مخطط النموذج المفاهيمي المستهدف
مخطط النموذج المنطقي المستهدف
مخطط النموذج الفعلي المستهدف
توثيق سلالة البيانات المستهدفة</t>
  </si>
  <si>
    <t>C2: Limited Access
C2: Limited Access
C2: Limited Access
C2: Limited Access</t>
  </si>
  <si>
    <t>The Entity shall define, develop, and maintain a comprehensive Enterprise Data Model (EDM) that provides a structured representation of the organization's data assets, supporting consistency, integration, and effective data management across all systems and processes. The Entity shall, at a minimum:
Ensure that the Enterprise Data Model aligns with the Entity’s data model design guidelines, EDM frameworks, and national data modeling standards
Ensure that its data models are updated to reflect any changes, ensuring consistency with the EDM guidelines and assets
Align conceptual, logical, and physical data models with the Entity’s master data profiles and the common profiles in the national government data catalog
Publish data models for reference and re-use within the Entity. Data Architect roles shall be responsible for evaluating other pre-existing data models and for aligning or re-using data models for new information systems where possible. Where this is not possible, justification shall be given in the system design and approved by the Data Committee.
Adopt the "Data by Design" principle in developing its Enterprise Data Model. This involves proactively identifying and documenting potential data attributes and objects not currently collected or available within the Entity</t>
  </si>
  <si>
    <t>DAM.2.1.2</t>
  </si>
  <si>
    <t xml:space="preserve"> Data Model Metadata</t>
  </si>
  <si>
    <t>Has the Entity defined and maintained comprehensive metadata for all data models to ensure proper management, traceability, and version control?
هل قامت الجهة بتعريف وصيانة بيانات وصفية شاملة لجميع نماذج البيانات لضمان الإدارة الفعالة، وإمكانية التتبع، والتحكم في الإصدارات؟</t>
  </si>
  <si>
    <t>Data Model Metadata Document (conceptual, logical, physical data model inventory)
Fact &amp; Dimension Tables Inventory (for target)
وثيقة البيانات الوصفية لنماذج البيانات
جرد النماذج المفاهيمية، المنطقية، والفعلية
جرد جداول الحقائق والأبعاد (للوضع المستهدف)</t>
  </si>
  <si>
    <t>The Entity shall define and maintain comprehensive metadata for all data models to ensure proper management, traceability, and version control. The Entity shall, at a minimum:
Ensure that each data model has a unique identifier in the format: [Entity Initials]-[Reference Number]-[Version]. For example, NPC-123-V1.0 represents Version 1.0 of model 123 for NPC.
Clearly define roles using the RACI matrix (Responsible, Accountable, Consulted, Informed)
Indicate whether the model is in Draft or Published status
Document the history of changes, including dates, authors, and descriptions of changes made
Store data models in a repository with robust version control capabilities. The recommended options for repositories, in order of preference, include:         
Integrated version control within data modeling tools
External version control repositories or document management systems supporting version control
Version control through organized file system structures (as an interim or last resort solution)</t>
  </si>
  <si>
    <t>DAM.2.2</t>
  </si>
  <si>
    <t xml:space="preserve"> Data Architecture &amp; Modeling Tools</t>
  </si>
  <si>
    <t>DAM.2.2.1</t>
  </si>
  <si>
    <t>Has the Entity selected a data architecture and modeling tool in alignment with the 'Tool Selection Criteria Template' as provided in the National Data Quality Management Guidelines, and implemented the tool by developing the bronze, silver, and gold layers of the data architecture?
هل اختارت الجهة أداة لهيكلة البيانات والنمذجة بما يتماشى مع "قالب معايير اختيار الأدوات" الوارد في الدليل الوطني الإرشادي لإدارة جودة البيانات، وقامت بتنفيذها من خلال تطوير الطبقات البرونزية والفضية والذهبية لهيكلة البيانات؟</t>
  </si>
  <si>
    <t>Evidences of deployed data Architecture &amp; modeling tools (e.g.: through documentation extracted from tools)
إثباتات نشر أدوات معمارية البيانات والنمذجة (مثل: توثيق مستخرج من الأدوات)</t>
  </si>
  <si>
    <t>The Entity shall select and implement a suite of technologies to facilitate data architecture and modeling activities. The selected toolset shall include, at a minimum, the following functionalities:
Data Architecture:
Tools for visually representing data and system components
Creating data flow diagrams to illustrate the movement of data within and between systems
Data Modeling:
Creating and modifying data and system objects, attributes, and relationships
Support to reverse engineering of existing data models to integrate and update legacy systems
Ability to create IE or IDEF1X-compliant models
Support for modeling both structured and unstructured datasets
Capability to link conceptual, logical, and physical data models
Use of the Common Warehouse Metamodel (CWM) for modeling data warehouse systems
Associating metadata with models to facilitate and promote reuse
Model versioning and traceability features
Data Lineage:
Capturing and maintaining data flows between systems
Performing impact analysis to understand the effects of data changes across systems</t>
  </si>
  <si>
    <t>DAM.3.1</t>
  </si>
  <si>
    <t xml:space="preserve"> Data Architecture &amp; Modeling Performance &amp; Change Management</t>
  </si>
  <si>
    <t>DAM.3.1.1</t>
  </si>
  <si>
    <t xml:space="preserve"> Data Architecture &amp; Modeling KPIs</t>
  </si>
  <si>
    <t xml:space="preserve">Has the Entity established key performance indicators (KPIs) to measure the state and effectiveness of its Data Architecture and Modeling capabilities?
هل وضعت الجهة مؤشرات أداء رئيسية لقياس حالة وفعالية قدراتها في هيكلة البيانات ونمذجتها؟
</t>
  </si>
  <si>
    <t xml:space="preserve">List of defined and documented  Data Architecture &amp; Modeling KPIs
قائمة مؤشرات الأداء الرئيسية  المحددة والموثقة لهيكلة البيانات ونمذجتها
</t>
  </si>
  <si>
    <t>The Entity shall establish key performance indicators (KPIs) to measure the state and effectiveness of its Data Architecture and Modeling capabilities. These KPIs shall include, at a minimum:
Metrics to track progress in transforming current state data architecture towards a target state data architecture
Data Architecture Compliance (i.e.: percentage of compliant target state data architecture layers)
Data model completeness (i.e.: number and percentage of completed data models)
Adherence to Data Modeling Standards (i.e.: number and percentage of compliant data models)</t>
  </si>
  <si>
    <t>DAM.3.1.2</t>
  </si>
  <si>
    <t xml:space="preserve"> Data Architecture &amp; Modeling Monitoring &amp; Reporting</t>
  </si>
  <si>
    <t>Has the Entity established monitoring and reporting mechanisms for Data Architecture &amp; Modeling based on the defined KPIs?
هل أنشأت الجهة آليات لمراقبة والإبلاغ عن هيكلة البيانات والنمذجة استنادًا إلى مؤشرات الأداء المحددة؟</t>
  </si>
  <si>
    <t>Data Architecture &amp; Modeling dashboards and reports
لوحات المعلومات والتقارير الخاصة بهيكلة البيانات والنمذجة</t>
  </si>
  <si>
    <t>The Entity shall monitor and report on the established data architecture and modeling KPIs. This shall include, at a minimum:
Implementing continuous monitoring mechanisms to track KPIs. The frequency of monitoring shall, at a minimum, be on a quarterly basis
Defining clear escalation protocols for performance deviations and non-compliance. The Data Committee shall be responsible for overseeing and managing the escalation process to address issues promptly</t>
  </si>
  <si>
    <t>DAM.3.1.3</t>
  </si>
  <si>
    <t xml:space="preserve"> Data Architecture Change Management Process</t>
  </si>
  <si>
    <t xml:space="preserve">Has the Entity established and implemented a structured change management process for reviewing, approving, and implementing changes to both the current and target state data architectures?
هل قامت الجهة بوضع وتنفيذ عملية منظمة لإدارة التغيير لمراجعة واعتماد وتنفيذ التعديلات على كلٍّ من هيكلة البيانات الحالية والمستهدفة؟
</t>
  </si>
  <si>
    <t>Data architecture and modeling change requests process
توثيق عملية طلبات التغيير في هيكلة البيانات والنمذجة</t>
  </si>
  <si>
    <t>The Entity shall establish and implement a structured change management process for reviewing, approving, and implementing changes to both the current and target state data architectures, to ensure that all modifications are systematically evaluated and aligned with the Entity’s strategic objectives. This process shall include, at a minimum, the following components:
Handling requests for new data architecture and data modeling projects
Managing changes to the Statement of Architecture Work documents for ongoing initiatives</t>
  </si>
  <si>
    <t>DAM.3.2</t>
  </si>
  <si>
    <t xml:space="preserve"> Data Architecture &amp; Modeling Documentation</t>
  </si>
  <si>
    <t>DAM.3.2.1</t>
  </si>
  <si>
    <t xml:space="preserve"> Data Architecture &amp; Modeling Repository</t>
  </si>
  <si>
    <t>Has the Entity established a centralized repository to store all data and technical architecture project documentation, reference materials, and data model designs?
هل أنشأت الجهة مستودعًا مركزيًا لتخزين جميع وثائق مشاريع الهيكلة التقنية للبيانات، والمواد المرجعية، وتصاميم نماذج البيانات؟</t>
  </si>
  <si>
    <t>Data Architecture &amp; Modeling Repository Documentation
توثيق مستودع هيكلة البيانات والنمذجة</t>
  </si>
  <si>
    <t>The Entity shall establish and maintain a centralized repository to store all data and technical architecture project documentation, reference materials, and data model designs. This repository shall, at a minimum:
Include comprehensive documentation of data architecture and modeling activities, such as structural diagrams (UML, IE, IDEF1X, Class Diagrams, Entity Relationship Diagrams, Component Diagrams, Deployment Diagrams, Dimensional Diagrams)
Implement version control to track changes and updates to documentation and models, ensuring accuracy and traceability
Indicate master/ slave or federated relationships between datasets, showing how data is managed across systems (e.g., master, slave, federated)
Include documentation to support data lineage and integration, ensuring consistency and reducing redundancy
Include data modeling artifacts such as Entity Relationship Diagrams and Data Flow Diagrams. These artifacts shall:
Form part of the Entity’s mandatory system design and architecture documentation
Be produced for both structured and unstructured data to support comprehensive data management</t>
  </si>
  <si>
    <t>MRDM.1.1</t>
  </si>
  <si>
    <t xml:space="preserve"> Master &amp; Reference Data Management Policy</t>
  </si>
  <si>
    <t>MRDM.1.1.1</t>
  </si>
  <si>
    <t xml:space="preserve"> Master &amp; Reference Data Management Policy Creation</t>
  </si>
  <si>
    <t>Has the Entity developed  Master &amp; Reference Data Management Policy  in alignment with ' Master &amp; Reference Data Management Policy Template' provided in National  Master &amp; Reference Data Management Guidelines?
هل قامت الجهة بوضع سياسة إدارة البيانات الرئيسية والمرجعية وفقًا لنموذج سياسة إدارة البيانات الرئيسية والمرجعية الوارد في الدليل الوطني الإرشادي لإدارة البيانات الرئيسية والمرجعية؟</t>
  </si>
  <si>
    <t xml:space="preserve"> Master &amp; Reference Data Management Policy document
وثيقة سياسة إدارة البيانات الرئيسية والمرجعية</t>
  </si>
  <si>
    <r>
      <rPr>
        <sz val="11"/>
        <color rgb="FF000000"/>
        <rFont val="Aptos Narrow"/>
        <scheme val="minor"/>
      </rPr>
      <t xml:space="preserve">The Entity shall establish a Master &amp; Reference Data Management Policy to enforce a single source of truth of Master &amp; Reference Data throughout the Entity.
</t>
    </r>
    <r>
      <rPr>
        <b/>
        <sz val="11"/>
        <color rgb="FF000000"/>
        <rFont val="Aptos Narrow"/>
        <scheme val="minor"/>
      </rPr>
      <t>SS1:</t>
    </r>
    <r>
      <rPr>
        <sz val="11"/>
        <color rgb="FF000000"/>
        <rFont val="Aptos Narrow"/>
        <scheme val="minor"/>
      </rPr>
      <t xml:space="preserve"> The policy shall cover, at a minimum, the following:
• Overview, purpose, scope, and objectives of the policy
• Policy applicability, validity, and review
• Policy guidelines in alignment to the National Data Management Policy and Standards
• Detailed policy statements covering, at a minimum, the following:
◦ Master and reference data plan
◦ Identification of master and reference data
◦ Implementation of technology to support master and reference data management
◦ Operation of master and reference data to support consuming systems
◦ Performance management and monitoring
◦ Escalation and issue management
◦ Periodic policy review and updates
◦ Key policy performance indicators
• Roles and Responsibilities
• References</t>
    </r>
  </si>
  <si>
    <t>MRDM.1.1.2</t>
  </si>
  <si>
    <t xml:space="preserve"> Master &amp; Reference Data Management Policy Publication</t>
  </si>
  <si>
    <t>Has the Entity reviewed, approved, and published the  Master &amp; Reference Data Management Policy following the defined process in the National  Master &amp; Reference Data Management Guidelines?
هل قامت الجهة بمراجعة واعتماد ونشر سياسة إدارة البيانات الرئيسية والمرجعية وفقًا للإجراءات المحددة في الإرشادات الوطنية لإدارة البيانات الرئيسية والمرجعية؟</t>
  </si>
  <si>
    <t>Formal Policy dissemination communication material
مواد التواصل الرسمية لنشر السياسة</t>
  </si>
  <si>
    <t>The Entity shall publish its master &amp; reference data management policy following the below guidelines:
SS1: Review the draft policy with the Entity’s Data Committee or equivalent body
SS2: Incorporate Data Committee or equivalent body’s feedback
SS3: Review draft policy for auditability
SS4: Incorporate internal audit feedback
SS5: Seek policy review and guidance from National Data Governance Office and incorporate the provided feedback
SS6: Publish the policy on Entity’s digital channels (e.g. The entity website)
SS7: Socialize the policy within the Entity to drive adoption and change management</t>
  </si>
  <si>
    <t>MRDM.1.2</t>
  </si>
  <si>
    <t xml:space="preserve"> Master &amp; Reference Data Management Planning</t>
  </si>
  <si>
    <t>MRDM.1.2.1</t>
  </si>
  <si>
    <t xml:space="preserve"> Master &amp; Reference Data Discovery &amp; Prioritization</t>
  </si>
  <si>
    <t>Has the Entity identified, defined, and classified master and reference data attributes (e.g., customer, products, supplier data) to ensure they are accurately sourced and effectively managed?
هل قامت الجهة بتحديد وتعريف وتصنيف سمات البيانات الرئيسية والمرجعية (مثل بيانات العملاء، المنتجات، الموردين) لضمان دقتها وإدارتها بفعالية؟</t>
  </si>
  <si>
    <t>Updated Data Catalog (with documented master and reference data assets)
دليل بيانات محدّث (يتضمن الأصول الموثقة للبيانات الرئيسية والمرجعية)</t>
  </si>
  <si>
    <t>SS1: The Entity shall define and implement a systematic process for identifying Master &amp; Reference data attributes and defining the Master &amp; Reference data domains that need to be managed (e.g.: customer, product, and supplier data). The identified Master &amp; Reference data attributes shall be prioritized, as needed, based on criticality to the Entity’s operations.</t>
  </si>
  <si>
    <t>curl -X POST \
  "https://emc1-cai.dm1-em.informaticacloud.com/active-bpel/public/rt/bHy4RORsmyRlzK8o3vcRmA/p_MDMRDM" \
  -H "Content-Type: application/json" \
  -H "Accept: application/json" \
  -d '{
        "in_username": "Unifi_Melfin2",
        "in_password": "Welcome2@1234567"
      }'
RESPONSE:
{
    "Number of mastered entities identified from Data Governance": "8",
    "Number of reference data sets identified from Data Governance": "310",
    "Number of fields related to master data": "1049",
    "Total number of reference attributes": "1929",
    "Number of reference attributes which are profiled": "1929",
    "Number of reference attributes which are not profiled": "1929",
    "Number of master attributes which are profiled": "0",
    "Number of master attributes which are not profiled": "1049",
    "Data domains from CDGC linked with master entities": "0",
    "Number of policies attached to reference data fields": "0",
    "Number of processes attached to reference data fields": "0",
    "Number of policies attached to master data fields": "0",
    "Number of processes attached to master data fields": "0"
}</t>
  </si>
  <si>
    <t>MRDM.1.2.2</t>
  </si>
  <si>
    <t xml:space="preserve"> Master &amp; Reference Data Authoritative Source &amp; Custodianship</t>
  </si>
  <si>
    <t>Has the Entity identified and designated the authoritative source for each dataset?
هل قامت الجهة بتحديد وتعيين المصدر المعتمد لكل مجموعة بيانات؟</t>
  </si>
  <si>
    <t>Updated Data Catalog (with designated authoritative sources for each dataset)
دليل بيانات محدّث (يتضمن المصادر الرسمية المعينة لكل مجموعة بيانات)</t>
  </si>
  <si>
    <t>SS1: The Entity shall identify and document the authoritative data source for each master &amp; reference data attribute, ensuring that it refers to and utilizes the Reference Data published by the National Planning Council (NPC), as it is the authoritative Entity for reference data.
SS2: The Entity shall validate and obtain approval from NPC for the business specific Reference Data created internally. The Reference Data should only be consumed by the Entity after it has been officially approved and shared by NPC.
SS3: For attributes where the Entity is not the authoritative data source nor the data custodian, the Entity shall define a request process for acquiring necessary master &amp; reference data from the respective external authoritative sources
SS4: For attributes where the Entity is the authoritative data source and/ or custodian, the Entity shall define a process to make these attributes available to external entities as required. This process for sharing the data shall ensure adherence to National Data Sharing, Integration, and Interoperability Standards</t>
  </si>
  <si>
    <t>curl -X POST \
  "https://emc1-cai.dm1-em.informaticacloud.com/active-bpel/public/rt/bHy4RORsmyRlzK8o3vcRmA/MRDM_1_2_2" \
  -H "Content-Type: application/json" \
  -H "Accept: application/json" \
  -d '{
        "in_username": "Unifi_Melfin2",
        "in_password": "Welcome2@1234567"
      }'
RESPONSE:
{
    "Number of source systems from which master data is extracted": 10,
    "List of authoritative source systems": "GTA, DEFAULT, MOCI, INFORMATICA CUSTOMER 360, MOL",
    "Number of mastered entities without assigned stakeholder": 4,
    "Number of mastered entities with assigned stakeholder": 4,
    "Number of reference data set with assigned stakeholder": 177,
    "Number of reference data set without assigned stakeholder": 133
}</t>
  </si>
  <si>
    <t>MRDM.1.2.3</t>
  </si>
  <si>
    <t xml:space="preserve"> Master &amp; Reference Data Management Plan</t>
  </si>
  <si>
    <t>Has the Entity developed  a master &amp; reference data management plan, in alignment with the Entity’s data strategy, to guide the implementation of master and reference data management initiatives across the Entity?
هل قامت الجهة بوضع خطة لإدارة البيانات الرئيسية والمرجعية، وفقًا لاستراتيجية البيانات الخاصة بها، لتوجيه تنفيذ مبادرات إدارة البيانات الرئيسية والمرجعية عبر الجهة؟</t>
  </si>
  <si>
    <t xml:space="preserve">Initiatives Cards
Master &amp; Reference Data Management Plan Document
بطاقات المبادرات ومستند خطة إدارة البيانات الرئيسية والمرجعية
</t>
  </si>
  <si>
    <t>The Entity shall develop a detailed master and reference data management plan, in alignment with the Entity’s data strategy, that will be used and monitored to implement and activate master and reference data management initiatives across the Entity. The plan shall include, at a minimum:
SS1: List of activities and milestones. The plan should account for quick wins and longer-term strategic changes
SS2: Owners and stakeholders
SS3: Interdependencies, assumptions, and risks
SS4: Implementation timeline and cost</t>
  </si>
  <si>
    <t>MRDM.2.1</t>
  </si>
  <si>
    <t xml:space="preserve"> Master &amp; Reference Data Management Assessment &amp; Design</t>
  </si>
  <si>
    <t>MRDM.2.1.1</t>
  </si>
  <si>
    <t xml:space="preserve"> Master &amp; Reference Data Rules</t>
  </si>
  <si>
    <t>Has the Entity develop rules for accurately matching and merging attribute instances, in alignment with the 'MRDM Rules Template' provided in the National Master &amp; Reference Data Management Guidelines?
هل قامت الجهة بوضع قواعد لمطابقة ودمج سمات البيانات بدقة، وفقًا لنموذج قواعد إدارة البيانات الرئيسية والمرجعية الوارد في الدليل الوطني الإرشادي لإدارة البيانات الرئيسية والمرجعية؟</t>
  </si>
  <si>
    <t>MDM Rules Document
مستند قواعد إدارة البيانات الرئيسية والمرجعية</t>
  </si>
  <si>
    <t>The Entity shall develop rules for accurately matching and merging attribute instances. These shall include, at a minimum:
SS1: Attribute trust rules that define the level of trust associated with specific attributes within a source system or across multiple systems (e.g.: an attribute trust rule may specify that the customer name from a verified and reliable source system has a higher trust level compared to the same attribute from other sources)
SS2: Similarity rules for identifying duplicate attributes during the match process
SS3: Survivorship rules that determine which data attributes will be chosen in the final master record during the merge process</t>
  </si>
  <si>
    <t>curl -X POST \
  "https://emc1-cai.dm1-em.informaticacloud.com/active-bpel/public/rt/bHy4RORsmyRlzK8o3vcRmA/P-MRDM-2-1-1" \
  -H "Content-Type: application/json" \
  -H "Accept: application/json" \
  -d '{
        "in_username": "Unifi_Melfin2",
        "in_password": "Welcome2@1234567"
      }'
RESPONSE:
{
    "Totalnumberofentities": 7,
    "TotalentitieswithMatchMergerulesimplemented": 2,
    "TotalentitieswithSurvivorshiprulesimplemented": 2,
    "MatchjobStatistics": {
        "totalJobs": 35,
        "successfulJobs": 35,
        "failedJobs": 0
    },
    {
        "BusinessEntity InternalId": "c360.person",
        "latestMatchSummary": {
            "masterRecords": 7134582,
            "sourceRecords": 27448476,
            "recordPairs": 44596264
        },
        "matchModelsInUse": [
            "Person Match"
        ],
        {
            "recentMatchAndMergeJobs": {
                "MatchAndMergeJobs": [
                    {
                        "matchModel": "Person Match",
                        "manualMergePairsCount": "0",
                        "endTime": "2026-02-09T15:30:02.249Z",
                        "jobName": "Person Match and Merge",
                        "startTime": "2026-02-09T14:00:01.533Z",
                        "status": "SUCCESS",
                        "matchModelVersion": "2",
                        "matchPairsCount": "35819",
                        "autoMergePairsCount": "35819"
                    },
                    {
                        "matchModel": "Person Match",
                        "manualMergePairsCount": "0",
                        "endTime": "2026-01-08T14:45:16.771Z",
                        "jobName": "Person Match",
                        "startTime": "2026-01-08T13:39:05.501Z",
                        "status": "SUCCESS",
                        "matchModelVersion": "2",
                        "matchPairsCount": "706562",
                        "autoMergePairsCount": "706562"
                    }
                ]
            }
        },
        "MatchPairs": {
            "sampleMatchPairs": [
                {
                    "pairCreationDate": "2026-01-03T00:57:07.862Z",
                    "sourceSystem": [
                        "identity_server",
                        "len"
                    ],
                    "sourcePkey": [
                        "1016069831",
                        "1016069831"
                    ],
                    "matchScore": "100",
                    "matchModelName": "Person Match"
                },
                {
                    "pairCreationDate": "2026-01-03T00:57:07.862Z",
                    "sourceSystem": [
                        "identity_server",
                        "pfp"
                    ],
                    "sourcePkey": [
                        "1016069831",
                        "1016069831"
                    ],
                    "matchScore": "100",
                    "matchModelName": "Person Match"
                },
                {
                    "pairCreationDate": "2026-01-03T00:57:07.862Z",
                    "sourceSystem": [
                        "identity_server",
                        "yaqeen"
                    ],
                    "sourcePkey": [
                        "1016069831",
                        "1016069831"
                    ],
                    "matchScore": "100",
                    "matchModelName": "Person Match"
                },
                {
                    "pairCreationDate": "2026-01-03T00:57:07.862Z",
                    "sourceSystem": [
                        "identity_server",
                        "len"
                    ],
                    "sourcePkey": [
                        "1016069971",
                        "1016069971"
                    ],
                    "matchScore": "100",
                    "matchModelName": "Person Match"
                },
                {
                    "pairCreationDate": "2026-01-03T00:57:07.861Z",
                    "sourceSystem": [
                        "identity_server",
                        "pfp"
                    ],
                    "sourcePkey": [
                        "1016068478",
                        "1016068478"
                    ],
                    "matchScore": "100",
                    "matchModelName": "Person Match"
                }
            ]
        }
    };{
        "BusinessEntity InternalId": "c360.organization",
        "latestMatchSummary": {
            "masterRecords": 107647,
            "sourceRecords": 107647,
            "recordPairs": 21948
        },
        "matchModelsInUse": [
            "Organization Match"
        ],
        {
            "recentMatchAndMergeJobs": {
                "MatchAndMergeJobs": {
                    "matchModel": "Organization Match",
                    "manualMergePairsCount": "0",
                    "endTime": "2026-01-21T09:08:43.453Z",
                    "jobName": "Organization Match and Merge",
                    "startTime": "2026-01-21T08:54:16.615Z",
                    "status": "SUCCESS",
                    "matchModelVersion": "1",
                    "matchPairsCount": "21948",
                    "autoMergePairsCount": "21948"
                }
            }
        },
        "MatchPairs": {
            "sampleMatchPairs": [
                {
                    "pairCreationDate": "2026-01-21T08:57:41.234Z",
                    "sourceSystem": [
                        "len",
                        "oracle_cbs"
                    ],
                    "sourcePkey": [
                        "2050128607",
                        "2050128607"
                    ],
                    "matchScore": "100",
                    "matchModelName": "Organization Match"
                },
                {
                    "pairCreationDate": "2026-01-21T08:57:41.234Z",
                    "sourceSystem": [
                        "len",
                        "oracle_cbs"
                    ],
                    "sourcePkey": [
                        "2050091482",
                        "2050091482"
                    ],
                    "matchScore": "100",
                    "matchModelName": "Organization Match"
                },
                {
                    "pairCreationDate": "2026-01-21T08:57:41.234Z",
                    "sourceSystem": [
                        "len",
                        "oracle_cbs"
                    ],
                    "sourcePkey": [
                        "2050093241",
                        "2050093241"
                    ],
                    "matchScore": "100",
                    "matchModelName": "Organization Match"
                },
                {
                    "pairCreationDate": "2026-01-21T08:57:41.234Z",
                    "sourceSystem": [
                        "len",
                        "oracle_cbs"
                    ],
                    "sourcePkey": [
                        "2050108385",
                        "2050108385"
                    ],
                    "matchScore": "100",
                    "matchModelName": "Organization Match"
                },
                {
                    "pairCreationDate": "2026-01-21T08:57:41.234Z",
                    "sourceSystem": [
                        "len",
                        "oracle_cbs"
                    ],
                    "sourcePkey": [
                        "2050096750",
                        "2050096750"
                    ],
                    "matchScore": "100",
                    "matchModelName": "Organization Match"
                }
            ]
        }
    }
}</t>
  </si>
  <si>
    <t>MRDM.2.1.2</t>
  </si>
  <si>
    <t xml:space="preserve"> Master &amp; Reference Data Architecture &amp; Modeling</t>
  </si>
  <si>
    <t>Has the Entity designed a common architecture archetype for its master &amp; reference data, in alignment with the 'MRD Requirements Template' provided in the National Master &amp; Reference Data Management Guidelines?
هل قامت الجهة بتصميم نموذج معماري موحد لبياناتها الرئيسية والمرجعية، وفقًا لنموذج متطلبات البيانات الرئيسية والمرجعية الوارد في الدليل الوطني الإرشادي لإدارة البيانات الرئيسية والمرجعية؟</t>
  </si>
  <si>
    <t>MDM Hub Architecture Design Document
مستند تصميم بنية مركز إدارة البيانات الرئيسية والمرجعية</t>
  </si>
  <si>
    <t>SS1: The Entity shall adopt a common architecture archetype for its master &amp; reference data, in alignment with the enterprise data model, the data catalog &amp; metadata standard, and the data architecture and modeling standard. Examples of common architecture archetypes include:
• Registry: The registry model is the simplest form of MRDM architecture. It links multiple systems through a central registry that maintains a reference to Master &amp; Reference data without storing the data itself. This model provides a consolidated view of Master &amp; Reference data but doesn't centralize data storage
• Consolidation: In the consolidation model, data from various source systems is aggregated into a central MDM hub. The MRDM system cleanses and deduplicates this data to create a "golden record" that serves as a read-only reference (data is not updated back to the source systems)
• Coexistence: The coexistence model allows for the bidirectional flow of data between the MRDM hub and the source systems. This model both feeds the consolidated, cleansed data back into the source systems and receives ongoing updates from them
• Centralized: Under the centralized model, the MRDM system acts as the primary source of Master &amp; Reference data. All data is entered directly into the MRDM system and then distributed to other systems. This model provides the highest level of control over Master &amp; Reference data</t>
  </si>
  <si>
    <t>MRDM.2.2</t>
  </si>
  <si>
    <t xml:space="preserve"> Master &amp; Reference Data Management Implementation</t>
  </si>
  <si>
    <t>MRDM.2.2.1</t>
  </si>
  <si>
    <t xml:space="preserve"> Master &amp; Reference Data Management Tools</t>
  </si>
  <si>
    <t>Has the Entity selected and implemented a master &amp; reference data nanagement tool in alignment with the 'MDM Tool Selection Criteria Template' provided in the National Master &amp; Reference Data Management Guidelines?
هل قامت الجهة باختيار وتنفيذ أداة لإدارة البيانات الرئيسية والمرجعية وفقًا لنموذج معايير اختيار أدوات إدارة البيانات الرئيسية والمرجعية الوارد في الدليل الوطني الإرشادي لإدارة البيانات الرئيسية والمرجعية؟</t>
  </si>
  <si>
    <t>Test results generated by the implemented tool
نتائج الاختبارات الناتجة عن الأداة المنفذة</t>
  </si>
  <si>
    <t>The Entity shall implement Master &amp; Reference Data Management tool, aligned with the Entity’s technology architecture. The tools shall include, at a minimum:
SS1: Workflow management for master and reference data (i.e.: manage and streamline workflows related to master and reference data)
SS2: Version control for master and reference data (i.e.: support for maintaining multiple versions of and reference data)
SS3: Master and reference data import and export capabilities (e.g.: XML)
SS4: Validation and matching at data entry (i.e.: validate and match data at the point of entry and in batch processing)
SS5: Web services integration (i.e.: integrate with external systems via web services for data interaction)</t>
  </si>
  <si>
    <t>MRDM.2.2.2</t>
  </si>
  <si>
    <t>Has the Entity enhanced its master &amp; reference data management capabilities to include advanced features such as API integration, real-time data synchronization, dataset version mapping, and support for hierarchical datasets and multilingual data?
هل عززت الجهة قدراتها في إدارة البيانات الرئيسية والمرجعية لتشمل ميزات متقدمة مثل تكامل واجهات برمجة التطبيقات، ومزامنة البيانات في الوقت الفعلي، ورسم خرائط إصدارات مجموعات البيانات، ودعم البيانات الهرمية ومتعددة اللغات؟</t>
  </si>
  <si>
    <t>Tool version upgrade logs
Feature release notes
سجلات تحديث إصدار الأداة
ملاحظات إصدار الميزات</t>
  </si>
  <si>
    <t>C2: Limited Access
C1: Intermal</t>
  </si>
  <si>
    <t>The Entity shall enhance its master and reference data management tooling capabilities to support the following:
SS1: API integration support (i.e.: facilitate integration with external systems through APIs)
SS2: Dynamic data synchronization (i.e.: facilitate real-time data exchange across distributed systems)
SS3: Dataset version mapping (i.e.: provide capabilities to map and manage transitions between dataset versions)
SS4: Hierarchical datasets support (i.e.: support management of data in hierarchical structures)
SS5:Multilingual data handling (e.g.: manage and support reference data in multiple languages)
SS6: Customizable user interface design (i.e.: offer customizable interfaces to meet diverse operational needs)</t>
  </si>
  <si>
    <t>MRDM.2.2.3</t>
  </si>
  <si>
    <t>Has the Entity enhanced its master &amp; reference data management capabilities to include AI/ML-powered functionalities such as automated discovery and entity resolution?
هل عززت الجهة قدراتها في إدارة البيانات الرئيسية والمرجعية لتشمل وظائف مدعومة بالذكاء الاصطناعي والتعلم الآلي، مثل الاكتشاف التلقائي وحل الكيانات؟</t>
  </si>
  <si>
    <t>The Entity shall further enhance its data quality tooling capabilities to support the following:
SS1: AI Powered Master and Reference Data Management (i.e.: providing an AI/ML approach to master and reference data management such as automated discovery and identification of master data, pre-trained ML models for entity resolution, etc.)</t>
  </si>
  <si>
    <t>MRDM.3.1</t>
  </si>
  <si>
    <t xml:space="preserve"> Master &amp; Reference Data Performance Management</t>
  </si>
  <si>
    <t>MRDM.3.1.1</t>
  </si>
  <si>
    <t xml:space="preserve"> MRDM Stewardship &amp; Maintenance Process</t>
  </si>
  <si>
    <t xml:space="preserve">Has the Entity assigned and documented roles and responsibilities for data stewardship activities to support ongoing the maintenance of master &amp; reference data management?
هل قامت الجهة بتعيين وتوثيق الأدوار والمسؤوليات الخاصة بأنشطة حوكمة البيانات لدعم الصيانة المستمرة لإدارة البيانات الرئيسية والمرجعية؟
</t>
  </si>
  <si>
    <t>List of assigned MRDM data stewards and documented roles and responsibilities
قائمة أمناء بيانات إدارة البيانات الرئيسية والمرجعية المعيّنين، مع توثيق الأدوار والمسؤوليات</t>
  </si>
  <si>
    <t>SS1: The Entity shall assign and document roles and responsibilities for data stewardship activities to support ongoing the maintenance of master &amp; reference data management. Below is an indicative, non-exhaustive list of activities that data stewards can be expected to perform:
• Monitoring and validating the quality and integrity of Master and Reference Data to ensure they are accurate, complete, and up to date in alignment with the Entity’s Data Quality Policy
• Analyzing records to identify anomalies after the matching-merging process, and providing feedback to source system owners to improve data accuracy and consistency
• Participating in the development and refinement and fine-tuning of algorithms and processes used in Master &amp; Reference Data Management tools
• Facilitating cross-departmental collaboration to establish and maintain common values and definitions for Master &amp; Reference Data
• Managing metadata for Master &amp; Reference Data, including steward name, originating organization, expected frequency of updates, schedule for updates, and processes using the Master &amp; Reference Data
• Overseeing workflows for the review and approval of changes to Master &amp; Reference Data</t>
  </si>
  <si>
    <t>curl --location 'https://emc1-cai.dm1-em.informaticacloud.com/active-bpel/public/rt/bHy4RORsmyRlzK8o3vcRmA/MRDM_3_1_1\
--header 'Content-Type: application/json' \
--data-raw '{  
    "in_username": "Unifi_Melfin2",
    "in_password": "Welcome2@1234567"
}'
RESPONSE:
{
    "No of triggered workflows for different event types": "0",
    "Distinct number of MRDM data stewards assigned to manage these events": "0",
    "List of data stewards mapped to respective events": "There is no data stewards mapped to respective events"
}</t>
  </si>
  <si>
    <t>MRDM.3.1.2</t>
  </si>
  <si>
    <t xml:space="preserve"> Master &amp; Reference Data Management KPIs</t>
  </si>
  <si>
    <t xml:space="preserve">Has the Entity established Key Performance Indicators (KPIs) to measure the effectiveness of Master &amp; Reference Data Management efforts and guide continuous improvement initiatives?
هل قامت الجهة بوضع مؤشرات أداء رئيسية  لقياس فاعلية جهود إدارة البيانات الرئيسية والمرجعية وتوجيه مبادرات التحسين المستمر؟
</t>
  </si>
  <si>
    <t xml:space="preserve">List of defined and documented Master &amp; Reference Data Management KPIs
قائمة مؤشرات الأداء الرئيسية المحددة والموثقة لإدارة البيانات الرئيسية والمرجعية
</t>
  </si>
  <si>
    <t>The Entity shall establish Key Performance Indicators (KPIs) to measure the effectiveness of Master &amp; Reference Data Management efforts and guide continuous improvement initiatives. KPIs shall include, at minimum:
SS1: Master and reference data quality metrics, as defined in the data quality domain (refer to DQM.3.2.1)</t>
  </si>
  <si>
    <t xml:space="preserve">curl -X POST \
  "https://emc1-cai.dm1-em.informaticacloud.com/active-bpel/public/rt/bHy4RORsmyRlzK8o3vcRmA/MRDM_3_1_2" \
  -H "Content-Type: application/json" \
  -H "Accept: application/json" \
  -d '{
        "in_username": "Unifi_Melfin2",
        "in_password": "Welcome2@1234567"
      }'
RESPONSE:
{
    "success jobs for b360": "55",
    "failed jobs for b360": "11",
    "success jobs for r360": "140",
    "failed jobs for r360": "22",
    "Synchronization Success Rate for B360": "83.33",
    "Synchronization Success Rate for R360": "86.42"
}
</t>
  </si>
  <si>
    <t>MRDM.3.1.3</t>
  </si>
  <si>
    <t xml:space="preserve"> Master &amp; Reference Data Management Monitoring &amp; Reporting</t>
  </si>
  <si>
    <t>Has the Entity implemented Master &amp; Reference Data Management Monitoring &amp; Reporting mechanisms to track the Entity’s master and reference data management efforts based on the defined KPIs?
هل قامت الجهة بتنفيذ آليات لمراقبة وإعداد التقارير حول إدارة البيانات الرئيسية والمرجعية لتتبع جهودها استنادًا إلى مؤشرات الأداء المحددة؟</t>
  </si>
  <si>
    <t xml:space="preserve">Master &amp; Reference Data Management scorecards and dashboards
لوحات المتابعة وبطاقات التقييم لإدارة البيانات الرئيسية والمرجعية
</t>
  </si>
  <si>
    <t>The Entity shall monitor and report on the Entity's master and reference data management efforts based on the defined KPIs. This shall include, at a minimum:
SS1: Align master and reference data quality monitoring and reporting to all the data quality monitoring and reporting foundational sub-specifications as outlined in DQM.3.2.2
SS2: A register recording all change requests for reference and master data, along with the decisions and rationale for each action taken in response to these requests`</t>
  </si>
  <si>
    <t>Data quality reports cannot be generated for master and reference attributes in CDGC and MDM. In MDM, the data quality score is available only at the record level and not at the attribute or entity level. Additionally, CDGC does not provide an option to run data quality rules for master and reference attributes.</t>
  </si>
  <si>
    <t>MRDM.3.1.4</t>
  </si>
  <si>
    <t xml:space="preserve">Has the Entity enhanced its Master &amp; Reference Data Management monitoring and reporting capabilities?
هل عززت الجهة قدراتها في مراقبة وإعداد التقارير الخاصة بإدارة البيانات الرئيسية والمرجعية؟
</t>
  </si>
  <si>
    <t>Implementation proof of process control reports, master and reference data quality gate reports, and automated alerts for master and reference data quality issues
إثبات تنفيذ تقارير التحكم في العمليات، وتقارير بوابات جودة البيانات الرئيسية والمرجعية، والتنبيهات التلقائية لمشكلات جودة البيانات الرئيسية والمرجعية</t>
  </si>
  <si>
    <t>The Entity shall enhance its master and reference data management monitoring and reporting capabilities as follows:
SS1: Align master and reference data quality monitoring and reporting to all the data quality monitoring and reporting advanced sub-specifications as outlined in DQM.3.2.2</t>
  </si>
  <si>
    <t>MRDM.3.1.5</t>
  </si>
  <si>
    <t xml:space="preserve"> Master &amp; Reference Data Management SLAs</t>
  </si>
  <si>
    <t xml:space="preserve">Has the Entity established and documented Master &amp; Reference Data Management SLAs in alignment with the 'Master &amp; Reference Data Management SLAs template' as provided in the National Master &amp; Reference Data Management Guidelines?
هل قامت الجهة بوضع وتوثيق اتفاقيات مستوى الخدمة  الخاصة بإدارة البيانات الرئيسية والمرجعية، وفقًا لنموذج اتفاقيات مستوى الخدمة لإدارة البيانات الرئيسية والمرجعية الوارد في الإرشادات الوطنية لإدارة البيانات الرئيسية والمرجعية؟
</t>
  </si>
  <si>
    <t>Master &amp; Reference Data Management SLA document
وثيقة اتفاقية مستوى الخدمة لإدارة البيانات الرئيسية والمرجعية.</t>
  </si>
  <si>
    <t>The Entity shall establish and implement service-level agreements (SLAs) that specify the performance criteria for Master &amp; Reference Data Management. The SLAs shall include, at a minimum:
SS1: Align master and reference SLAs to all the data quality SLAs foundational sub-specifications as outlined in DQM.3.2.3</t>
  </si>
  <si>
    <t>MRDM.3.1.6</t>
  </si>
  <si>
    <t>Has the Entity implemented an automated system to monitor SLA compliance and trigger notifications when SLAs are breached?
هل قامت الجهة بتنفيذ نظام آلي لمراقبة الامتثال لاتفاقيات مستوى الخدمة  وإطلاق إشعارات عند حدوث أي انتهاك لها؟</t>
  </si>
  <si>
    <t>Implementation proof of an automated SLA monitoring system
إثبات تنفيذ نظام آلي لمراقبة اتفاقيات مستوى الخدمة</t>
  </si>
  <si>
    <t>The Entity shall enhance its master and reference data management SLAs capabilities as follows:
SS1: Align master and reference SLAs to all the data quality SLAs advanced sub-specifications as outlined in DQM.3.2.3</t>
  </si>
  <si>
    <t>DSPO.2.4</t>
  </si>
  <si>
    <t>Data Classification</t>
  </si>
  <si>
    <t>DSPO.2.4.1</t>
  </si>
  <si>
    <t>Data Classification
Operations</t>
  </si>
  <si>
    <t xml:space="preserve">Has the Entity classified its data and applied required labeling, metadata registration, and handling practices in alignment with the National Data Classification Policy?
هل قامت الجهة بتصنيف بياناتها وتطبيق التصنيفات المطلوبة، تسجيل البيانات الوصفية  وممارسات التعامل مع البيانات وفقًا لسياسة التصنيف الوطنية للبيانات؟
</t>
  </si>
  <si>
    <t>- Data Catalog with metadata registration of classification levels
- Documentation of classification audits
- Documentation of escalation process for classification issues
فهرس البيانات يتضمن تسجيل البيانات الوصفية  لمستويات التصنيف
توثيق عمليات تدقيق التصنيف
توثيق عملية التصعيد لمعالجة مشكلات التصنيف</t>
  </si>
  <si>
    <t>C2: Limited Access
C2: Limited Access
C2: Limited Access</t>
  </si>
  <si>
    <t>To operationalize the National Data Classification Policy, the Entity shall, at a minimum, do the following:
SS1. Include in its documentation templates fields for information classification on the cover sheet and header/footer to support the application of classification labels
SS2. Automatically apply a watermark indicating the relevant classification for documentation not generated from the Entity’s templates
SS3. Use standard color coding for classified documents to visually reinforce the classification and handling expectations:
• Dark Red for “C4” (Top Secret) Data
• Red for "C3 (Secret) Data
• Orange for "C2” (Restricted) Data
• Blue for "C1” (Internal) Data
• Green for "C0” (Public) Data
SS4. Publish the classification levels assigned to its datasets and artifacts as metadata attributes registered within the Data Catalog. The metadata population should follow the process defined in the Data Catalog and Metadata Management Domain.
SS5. Appoint a third party to review and audit data classification activities.
SS6. Develop an escalation and resolution process for issues and complaints related to data classification, and the misuse of collected data that does not comply with relevant national and international regulations. This process must be approved by the Data Committee and key relevant stakeholders, and it should be published and communicated to all key stakeholders involved. The process should include, at a minimum, the following:
• Channel for identifying and cataloging potential issues
• Workflow for investigation, analysis, and resolution that can be tracked, monitored, and historically logged (In the event of compromised private data, the Entity's data controller or data processor must notify the Data Committee and the National Data Governance Office within 72 hours)</t>
  </si>
  <si>
    <t>curl -X POST \ 
  "https://emc1-cai.dm1-em.informaticacloud.com/active-bpel/public/rt/bHy4RORsmyRlzK8o3vcRmA/P_DSPOR1" \ 
  -H "Content-Type: application/json" \ 
  -H "Accept: application/json" \ 
  -d '{ 
        "in_username": "Unifi_Melfin2", 
        "in_password": "Welcome2@1234567" 
      }' 
RESPONSE:
{ 
    "Total number of data element classification": "230", 
    "Total number of data entity classification": "1", 
    "Total Number of Data Elements Classified with High Sensitivity": "157", 
    "Total Number of Data Elements Classified with Medium Sensitivity": "34", 
    "Total Number of Data Elements Classified with Low Sensitivity": "21", 
    "Total Number of assets related to classifications with C0": "0", 
    "Total Number of assets related to classifications with C1": "0", 
    "Total Number of assets related to classifications with C2": "0", 
    "Total Number of assets related to classifications with C3": "0", 
    "Total Number of assets related to classifications with C4": "0" 
}</t>
  </si>
  <si>
    <t>DCMM.1.1</t>
  </si>
  <si>
    <t xml:space="preserve"> Data Catalog &amp; Metadata Management Policy</t>
  </si>
  <si>
    <t>DCMM.1.1.1</t>
  </si>
  <si>
    <t xml:space="preserve"> Data Catalog &amp; Metadata Management Policy Creation</t>
  </si>
  <si>
    <t xml:space="preserve">Has the Entity developed Data Catalog &amp; Metadata Management Policy in alignment with 'Data Catalog &amp; Metadata Management Policy Template' provided in National Data Catalog &amp; Metadata Management Guidelines?
هل قامت الجهة بتطوير سياسة دليل البيانات وإدارة البيانات الوصفية بما يتماشى مع نموذج "سياسة دليل البيانات وإدارة البيانات الوصفية الوارد في الدليل الوطني الإرشادي لدليل البيانات وإدارة البيانات الوصفية؟
</t>
  </si>
  <si>
    <t>Data Catalog &amp; Metadata Management Policy document
وثيقة سياسة دليل البيانات وإدارة البيانات الوصفية</t>
  </si>
  <si>
    <t>The Entity shall create a Data Catalog &amp; Metadata Management policy that governs the creation, operation, maintenance, and dissemination of metadata across the Entity. The policy shall cover, at a minimum:
SS1. Overview, purpose, scope, and objectives of the policy
SS2. Policy applicability, validity, and review
SS3. Policy guidelines in alignment to the National Data Management Policy and Standards
SS4.  Detailed policy statements covering, at a minimum, the following:
• Metadata quality dimensions – refer to DQM.1.1.1.SS1
• Critical metadata attributes (CMAs) identification
• Developing Metadata Guidelines and Standards
• Metadata Profiling and Quality Assessment
• Metadata Quality Escalations and Issue Management
• Metadata Quality Remediation Process
• Metadata governance framework and stewardship
• Metadata Integration and Interoperability
• Metadata Cataloging and Classification
• Metadata Versioning and Change Management
• Metadata Security and Privacy
• Performance management and monitoring
• Periodic policy review and updates
• Key policy performance indicators
SS5. Roles and Responsibilities
SS6. References</t>
  </si>
  <si>
    <t>DCMM.1.1.2</t>
  </si>
  <si>
    <t xml:space="preserve"> Data Catalog &amp; Metadata Management Policy Publication</t>
  </si>
  <si>
    <t xml:space="preserve">Has the Entity reviewed, approved, and published the Data Catalog &amp; Metadata Management Policy following the defined process in the National Data Catalog &amp; Metadata Management Guidelines?
هل قامت الجهة بمراجعة واعتماد ونشر سياسة دليل البيانات وإدارة البيانات الوصفية وفقًا للإجراءات المحددة في إرشادات دليل البيانات وإدارة البيانات الوصفية؟
</t>
  </si>
  <si>
    <t xml:space="preserve">Formal Policy dissemination communication material
مواد تواصل رسمية لنشر السياسة </t>
  </si>
  <si>
    <t>The Entity shall publish its Data Catalog &amp; Metadata Management policy following the below guidelines:
SS1. Review the draft policy with the Entity’s Data Committee or equivalent body
SS2. Incorporate Data Committee or equivalent body’s feedback
SS3.  Review draft policy for auditability
SS4.Incorporate internal audit feedback
SS5. Seek policy review and guidance from National Data Governance Office and incorporate the provided feedback
SS6. Publish the policy on Entity’s digital channels (e.g. The entity website)
SS7. Socialize the policy within the Entity to drive adoption and change management</t>
  </si>
  <si>
    <t>curl -X POST \
  "https://emc1-cai.dm1-em.informaticacloud.com/active-bpel/public/rt/bHy4RORsmyRlzK8o3vcRmA/P_Plan-DG1" \
  -H "Content-Type: application/json" \
  -H "Accept: application/json" \
  -d '{
        "in_username": "Unifi_Melfin2",
        "in_password": "Welcome2@1234567"
      }' 
RESPONSE:
{
    ""Count of published policy"": ""1""
}</t>
  </si>
  <si>
    <t xml:space="preserve"> Data Catalog &amp; Metadata Management Planning</t>
  </si>
  <si>
    <t>DCMM.1.2.1</t>
  </si>
  <si>
    <t xml:space="preserve"> Data Catalog &amp; Metadata Management Plan</t>
  </si>
  <si>
    <t>Has the Entity developed a  Data Catalog &amp; Metadata Management Plan that will be used and monitored to implement and activate data catalog &amp; metadata management initiatives across the Entity, in alignment with the ' Data Catalog &amp; Metadata Management Plan Process and Template' as provided in the National  Data Catalog &amp; Metadata Management Guidelines?
هل قامت الجهة بتطوير خطة دليل البيانات وإدارة البيانات الوصفية التي سيتم استخدامها ومراقبتها لتنفيذ وتفعيل مبادرات دليل البيانات وإدارة البيانات الوصفية عبر الجهة، وذلك بما يتماشى مع عملية ونموذج خطة دليل البيانات وإدارة البيانات الوصفية كما هو موضح في الدليل الوطني الإرشادي لدليل البيانات وإدارة البيانات الوصفية؟</t>
  </si>
  <si>
    <t xml:space="preserve"> Data Catalog &amp; Metadata Management Plan document
وثيقة خطة دليل البيانات وإدارة البيانات الوصفية</t>
  </si>
  <si>
    <t>In alignment with the Entity’s data strategy, the Entity shall develop a data catalog &amp; metadata management plan, that will be used and monitored to implement and activate data catalog and metadata management initiatives across the Entity. The plan shall include, at a minimum:
SS1. List of activities and milestones. The plan should account for quick wins and longer-term strategic changes
SS2. Owners and stakeholders
SS3. Interdependencies, assumptions, and risks
SS4. Implementation timeline and cost</t>
  </si>
  <si>
    <t>DCMM.2.1</t>
  </si>
  <si>
    <t xml:space="preserve"> Metadata Management Assessment &amp; Design</t>
  </si>
  <si>
    <t>DCMM.2.1.1</t>
  </si>
  <si>
    <t xml:space="preserve"> Meta Model Design</t>
  </si>
  <si>
    <t xml:space="preserve">Has the Entity designed an Entity-wide Meta Model aligned to the national data architecture &amp; modeling standards and with organizational goals?
هل قامت الجهة بتصميم نموذج بيانات شامل  يتماشى مع المعايير الوطنية لهيكلة البيانات ونمذجتها ويتوافق مع الأهداف التنظيمية؟
</t>
  </si>
  <si>
    <t>Meta Model Design Documents
وثائق تصميم النموذج الوصفي</t>
  </si>
  <si>
    <t>The Entity shall design an Entity-wide Meta Model, ensuring the metamodel adheres to the existing data architecture standards and aligns with organizational goals. The design process shall include, at a minimum:
SS1. Conduct stakeholder interviews to develop initial knowledge about the range of data held and metadata required and gather requirements for business, technical, and other identified types of metadata
SS2. Integrate the metamodel within the broader context of the Entity’s data model
SS3. Design multiple levels of metamodels (i.e.: high-level conceptual model, middle-level logical model, low-level physical model) - refer to Data SS1: SS1: Architecture &amp; Modeling Domain
SS4. Define and document the Meta-Entities and their Meta-Attributes to standardize the structure of data models (i.e.: tables, columns, data types, constraints)
SS5.Include control activities (i.e.: job scheduling and monitoring, load statistical analysis, backup/ recovery/ archive/ pugging, query and report generation, etc.)
SS6.Evaluate existing metadata sources and repositories, and integrate the metamodel with current metadata management tools, systems, and repositories
SS7.Document the relationships and hierarchies within the metadata (i.e.: data flows mapping, parent-child relationships documentation, hierarchical structure establishment)
SS8.Establish procedures for ongoing maintenance and updates (i.e.: updates schedule setup, maintenance workflows definition, reviews processes establishment)</t>
  </si>
  <si>
    <t>curl -X POST \
  "https://emc1-cai.dm1-em.informaticacloud.com/active-bpel/public/rt/bHy4RORsmyRlzK8o3vcRmA/P_Implement-DG1\
  -H "Content-Type: application/json" \
  -H "Accept: application/json" \
  -d '{
        "in_username": "Unifi_Melfin2",
        "in_password": "Welcome2@1234567"
      }' 
RESPONSE:
{
  "Total number of catalog source": "166",
  "Total number of Dataset": "588",
  "Total number of columns": "818622",
  "Total number of Business Term": "302",
  "Total number of business terms which are CDE": "278",
  "Total number of business terms which are Non CDE": "24",
  "Total number of active jobs": "0",
  "Total number of jobs with a cancel request": "0",
  "Total number of cancelled jobs": "104",
  "Total number of completed jobs": "637",
  "Total number of partially completed jobs": "84",
  "Total number of failed jobs": "82",
  "Total number of jobs with a pause request": "0",
  "Total number of paused jobs": "0",
  "Total number of running jobs": "0",
  "Total number of skipped jobs": "0",
  "Total number of jobs that are starting": "0",
  "Total number of submitted jobs": "0",
  "Total number of completed catalog scan sync jobs": "285",
  "Last Successful Catalog Sync Job Run Details": "Job Name: sql_QCP-SPSQL1_readonly_Microsoft SQL Server_sync, Start Time: Jan 19, 2026, 00:00:55 AM, End Time: Jan 19, 2026, 00:00:55 AM, Duration: 00:00:55",
  "Total number of domain": "1",
  "Total number of System": "54",
  "Total count of tables": "38891",
  "Total count of Dataset updates executed": "696",
  "Total number of workflows": "1",
  "Total number of stakeholders assigned in the dataset": "6",
  "Total Count of Classification Related to Dataset": "12",
  "Total Count of Business term Related to Data element": "244",
  "Total Count of classification related to Columns": "25",
  "Total number of data quality rules related to Accuracy": "39",
  "Total number of data quality rules related to Consistency": "8",
  "Total number of data quality rules related to Completeness": "20",
  "Total number of data quality rules related to Timeliness": "4",
  "Total number of data quality rules related to Validity": "54.6959090909091",
  "Total number of times the business term changed": "9853",
  "Total number of business terms in text data type": "299",
  "Total number of business terms in Decimal data type": "0",
  "Total number of business terms in Number data type": "3",
  "Total number of business terms in Percentage data type": "0",
  "Total number of business terms in fraction data type": "0",
  "Total number of business terms in Date data type": "299",
  "Total number of business terms in Time data type": "0",
  "Total number of business terms in Datetime data type": "0",
  "Total number of datasets created in the last month": "0",
  "Total number of business term created in the last month": "0",
  "Total number of Column created in the last month": "11282"
}</t>
  </si>
  <si>
    <t>DCMM.2.2</t>
  </si>
  <si>
    <t xml:space="preserve"> Metadata Lifecycle Management</t>
  </si>
  <si>
    <t>DCMM.2.2.1</t>
  </si>
  <si>
    <t xml:space="preserve"> Metadata Standardization</t>
  </si>
  <si>
    <t xml:space="preserve">Has the Entity established Metadata Terms Standardization in alignment with the Entity's metamodel design and the 'Data Catalog Template' provided in the National Data Catalog &amp; Metadata Management Guidelines?
هل قامت الجهة بوضع معايير موحدة للمصطلحات الوصفية  بما يتماشى مع تصميم نموذج دليل البيانات الخاص بالجهة ونموذج دليل البيانات الوارد في الدليل الوطني الإرشادي لدليل البينات وإدارة البيانات الوصفية ؟
</t>
  </si>
  <si>
    <t>Data Catalog Document (i.e.: with standardized naming conventions for data attributes, updated metadata registry)
وثيقة دليل البيانات (تتضمن معايير موحدة لتسمية سمات البيانات وتحديث سجل البيانات الوصفية)</t>
  </si>
  <si>
    <t>Aligning with the Entity’s metamodel design, the Entity shall develop a Metadata Terms Standardization across the Entity. The standardization shall include, at a minimum:
SS1.Generation and standardization of data elements (i.e.: common elements, data element creation protocols, uniformity in data element usage)
SS2.Identification of basic attributes of data elements (i.e.: data type, length, format, relationships, usage guidelines)
SS3.Rules and guidelines for the formulation of data definitions (i.e.: standards terminology, business processes and requirements)
SS4.Naming and identification principles for data elements (i.e.: standardization of naming conventions, descriptive and meaningful of names, prevention of naming conflicts)
SS5.Registration of data elements (i.e.: metadata registry, attributes documentation, easy access and searchability)
SS6.Development of ontologies (i.e.: semantic models, business domain knowledge, data integration and interoperability)
SS7.Creation of taxonomy (i.e.: data elements hierarchical classifications, data discovery and retrieval support, business and operational contexts alignment)</t>
  </si>
  <si>
    <t>curl -X POST \
  "https://emc1-cai.dm1-em.informaticacloud.com/active-bpel/public/rt/bHy4RORsmyRlzK8o3vcRmA/P_Implement-DG2\
  -H "Content-Type: application/json" \
  -H "Accept: application/json" \
  -d '{
        "in_username": "Unifi_Melfin2",
        "in_password": "Welcome2@1234567"
      }'
RESPONSE:
{
  "Total number of Domain": "1",
  "Total number of Sub Domain": "4",
  "Total Number of Domains with Stakeholder": "0",
  "Total Number of Sub Domains with Stakeholder": "0",
  "Total Count of Classification": "230",
  "Total Number of Business Term": "302",
  "Total number of business terms which are CDE": "278",
  "Total number of business terms which are Non CDE": "24",
  "Total number of business terms related to dataset": "21",
  "Total number of business terms in text data type": "299",
  "Total number of business terms in Number data type": "3",
  "Total number of business terms in Decimal data type": "0",
  "Total number of business terms in fraction data type": "0",
  "Total number of business terms in Date data type": "299",
  "Total number of business terms in Time data type": "0",
  "Total number of business terms in DateTime data type": "0",
  "Total number of business terms in Percentage data type": "0",
  "Total number of business term linked with data element under dataset": "21",
  "Total count of table": "38891",
  "Total number of Views": "14621",
  "Total Count of Columns": "818622",
  "Total number of data quality rules linked to business terms that are CDEs": "36",
  "Total DQ metrics linked to datasets": "44",
  "Total number of Classification associated with data element": "25",
  "Total number of Classification associated with Column": "25",
  "Total number of stakeholders assigned in the System": "3",
  "Total number of stakeholders assigned in the dataset": "6",
  "Total number of custom attributes": "14",
  "Total number of times the Domain changed": "5",
  "Total number of times the Sub Domain changed": "15",
  "Total number of times the Dataset changed": "696",
  "Total number of times the Policy changed": "16",
  "Total number of times the System changed": "79",
  "Total number of times the Business term changed": "9853"
}</t>
  </si>
  <si>
    <t>DCMM.2.2.2</t>
  </si>
  <si>
    <t xml:space="preserve"> Datasets Identification &amp; Prioritization</t>
  </si>
  <si>
    <t xml:space="preserve">Has the Entity identified and prioritized the datasets that are required to be populated in the Entity’s Data Catalog, in alignment wih the 'Dataset Inventory Template' provided in the National Data Catalog &amp; Metadata Management Guidelines?
هل قامت الجهة بوضع توحيد مصطلحات البيانات الوصفية بما يتماشى مع تصميم النموذج المفاهيمي للجهة ونموذج دليل البيانات المقدم في الدليل الوطني الإرشادي لدليل البيانات وإدارة البيانات الوصفية؟
</t>
  </si>
  <si>
    <t>Data Catalog Document (i.e.: with Dataset Inventory filled)
وثيقة فهرس البيانات (تتضمن جرد مجموعات البيانات المُعبّأ)</t>
  </si>
  <si>
    <t>SS1.The Entity shall identify and prioritize the datasets that are required to be populated in the Entity’s Data Catalog. Particular consideration shall be given to the sequence in which metadata is captured; typically, business-level metadata followed by technical metadata
SS2.The Entity’s Data &amp; Analytics Director (or equivalent) shall develop a roadmap for populating the Data Catalog, which shall be submitted to the Data Committee for approval</t>
  </si>
  <si>
    <t>curl -X POST \
  "https://emc1-cai.dm1-em.informaticacloud.com/active-bpel/public/rt/bHy4RORsmyRlzK8o3vcRmA/P_Implement-DG3" \
  -H "Content-Type: application/json" \
  -H "Accept: application/json" \
  -d '{
        "in_username": "Unifi_Melfin2",
        "in_password": "Welcome2@1234567"
      }'
RESPONSE:
{
    "Total number of Dataset": "591",
    "Total number of System": "54",
    "Number of attributes linked with CDE under the dataset": "316",
    "Count of datasets which contains CDE that are published to the marketplace": "2",
    "Total DQ metrics linked to datasets": "56",
    "Percentage of data quality rules under the dataset for accuracy": "77.36125000000001",
    "Percentage of data quality rules under the dataset for completeness": "62.934000000000005",
    "Percentage of data quality rules under the dataset for consistency": "93.31",
    "Percentage of data quality rules under the dataset for validity": "54.05388888888889",
    "Percentage of data quality rules under the dataset for Timeliness": "93.31",
    "Percentage of data quality rules under the dataset for uniqueness": "0",
    "Total assets with ratings": "15",
    "Total assets without ratings": "2036391",
    "Total assets with rating 1": "0",
    "Total assets with rating 2": "0",
    "Total assets with rating 3": "2",
    "Total assets with rating 4": "6",
    "Total assets with rating 5": "7",
    "Total number of times the Dataset changed": "1883",
    "Total Number of stakeholders assigned in the Domain": "0",
    "Total Number of stakeholders assigned in the Sub domain": "0",
    "Total number of stakeholders assigned in the System": "4",
    "Total number of stakeholders assigned in the dataset": "7"
}</t>
  </si>
  <si>
    <t>DCMM.2.2.3</t>
  </si>
  <si>
    <t xml:space="preserve"> Metadata Management Processes</t>
  </si>
  <si>
    <t xml:space="preserve">Has the Entity defined and implemented formal processes for  that are required to the Entity’s metadata lifecycle management?
هل قامت الجهة بتعريف وتنفيذ عمليات رسمية لإدارة دورة حياة البيانات الوصفية الخاصة بها؟
</t>
  </si>
  <si>
    <t>Metadata Management Processes Documents
وثائق عمليات إدارة البيانات الوصفية</t>
  </si>
  <si>
    <t>The Entity shall define and implement the processes that are required to the Entity's metadata lifecycle management. The identified steps of the processes shall include, at a minimum:
SS1.Metadata structure (i.e.: data types, metadata schemas, hierarchical relationships)
SS2.Metadata Ownership &amp; Stewardship Coverage (i.e.: assigning stewards for identified metadata types, clarifying responsibilities for metadata management, outlining accountability for metadata quality, establishing ownership for specific metadata elements)
SS3.Metadata population (i.e.: business terms, technical specifications, data sources description)
SS4.Metadata ingestion (i.e.: metadata extraction automation from different databases, metadata integration from third-party tools)
SS5.Metadata update (i.e.: periodic metadata refreshes schedule, business terms definition update as they evolve, outdated metadata documentation updates)
SS6.Metadata lineage (i.e.: documentation of data flow from source to destination, tracking of changes in data transformations, mapping of data dependencies)
SS7.Metadata quality (i.e.: metadata validation checks, metadata quality rules) – refer to DQM domain
SS8.Metadata annotation (i.e.: annotation of business terms with usage examples, addition of context notes to technical metadata, linkage of metadata entries)
SS9.Metadata certification (i.e.: certification of metadata through thorough data stewardship reviews, data governance committee approval)
SS10.Metadata audit trial (i.e.: logging of metadata modification timestamps, recording of user changes, tracking of version history)
SS11.Versioning &amp; Control (i.e.: maintenance of version history of metadata updates, implementation of access controls for metadata edits, management of metadata rollback procedures)</t>
  </si>
  <si>
    <t>curl -X POST \
 "https://emc1-cai.dm1-em.informaticacloud.com/active-bpel/public/rt/bHy4RORsmyRlzK8o3vcRmA/P_Implement-DG4" \
  -H "Content-Type: application/json" \
  -H "Accept: application/json" \
  -d '{
        "in_username": "Unifi_Melfin2",
        "in_password": "Welcome2@1234567"
      }'
RESPONSE:
{
    "Total schemas count": "661",
    "Total columns related to business term": "2000",
    "Total business terms Updated last month": "3",
    "Total Number of domains": "1",
    "Total business terms": "302",
    "Total data elements with datasets": "548",
    "Total datasets assigned to CDE": "7",
    "Total DQ rules linked to CDE": "37",
    "Total published glossary": "312",
    "Total Number of systems": "54",
    "Total stakeholders with domain": "0",
    "Total stakeholders with system": "4",
    "Total count of datasets": "589",
    "Total columns related to classifications with sensitivity high": "1624",
    "Total columns related to classifications with sensitivity medium": "531",
    "Total columns related to classifications with sensitivity low": "93",
    "lastRunJobDetails": {
        "jobName": "CDP_Silver_Oracle_sync",
        "status": "COMPLETED",
        "startTime": "Jan 19, 2026, 3:01:36 p.m.",
        "endTime": "Jan 19, 2026, 3:16:13 p.m.",
        "duration": "00:14:37"
    }
}</t>
  </si>
  <si>
    <t>DCMM.2.3</t>
  </si>
  <si>
    <t xml:space="preserve"> Data Catalog Tool Implementation</t>
  </si>
  <si>
    <t>DCMM.2.3.1</t>
  </si>
  <si>
    <t xml:space="preserve">Has the Entity selected and implemented a data catalog tool in alignment with the 'Tool Selection Criteria Template' as provided in the National Data Catalog &amp; Metadata Management Guidelines?
هل قامت الجهة باختيار وتنفيذ أداة دليل البيانات بما يتماشى مع نموذج معايير اختيار الأدوات كما هو موضح في الدليل الوطني الإرشادي لدليل البيانات وإدارة البيانات الوصفية؟
</t>
  </si>
  <si>
    <t>Extracts of data catalog reports generated by the implemented tool
مستخرجات من تقارير دليل البيانات الصادرة عن الأداة المنفذة</t>
  </si>
  <si>
    <t>The Entity shall implement a data catalog tool that is required to act as an inventory of the Entity's data assets metadata. The tool shall include, at a minimum:
SS1.Data Catalog automation (i.e.: metadata extraction from databases, metadata updates, metadata refreshes)
SS2.Data Catalog notifications (i.e.: email notifications for metadata updates, alerts for quality issues, reminders for metadata reviews)
SS3.Data Catalog audit trial (i.e.: metadata logging modifications, user actions recording, version history tracking)
SS4.Data Catalog tool versioning (i.e.: version control for tool updates, legacy version maintenance for updates, previous versions rollback if needed)</t>
  </si>
  <si>
    <t>curl -X POST \
  "https://emc1-cai.dm1-em.informaticacloud.com/active-bpel/public/rt/bHy4RORsmyRlzK8o3vcRmA/p_implement_DG5" \
  -H "Content-Type: application/json" \
  -H "Accept: application/json" \
  -d '{
        "in_username": "Unifi_Melfin2",
        "in_password": "Welcome2@1234567"
      }'
RESPONSE:
{
  "Total number of times the Domain changed": "5",
  "Total number of times the Sub Domain changed": "15",
  "Total number of times the Dataset changed": "696",
  "Total number of times the Policy changed": "16",
  "Total number of times the Business term changed": "9853",
  "Total number of times the System changed": "79"
}</t>
  </si>
  <si>
    <t>DCMM.3.1</t>
  </si>
  <si>
    <t xml:space="preserve"> Metadata &amp; Data Catalog Performance Management</t>
  </si>
  <si>
    <t>DCMM.3.1.1</t>
  </si>
  <si>
    <t xml:space="preserve"> Data Catalog KPIs</t>
  </si>
  <si>
    <t>Has the Entity defined and documented Data Catalog KPIs to measure on adoption &amp; usage?
هل قامت الجهة بتحديد وتوثيق مؤشرات الأداء الرئيسية  لدليل البيانات لقياس مستوى التبني والاستخدام؟</t>
  </si>
  <si>
    <t>List of defined and documented Data Catalog KPIs
قائمة بمؤشرات الأداء الرئيسية  المحددة والموثقة لدليل البيانات</t>
  </si>
  <si>
    <t>The Entity shall establish key performance indicators (KPIs) to measure and report on the Entity's Data Catalog Adoption &amp; Usage. KPIs shall include, at minimum:
SS1.Number of registered Data Catalog users
SS2.Number of active Data Catalog users
SS3.Number of logins to Data Catalog
SS4.Number of performed metadata queries
SS5.Number of annotations (tags, comments) added to data assets
SS6.Number of ratings added to data assets
SS7.Number of assigned trust certificates to metadata</t>
  </si>
  <si>
    <t>curl -X POST \
  "https://emc1-cai.dm1-em.informaticacloud.com/active-bpel/public/rt/bHy4RORsmyRlzK8o3vcRmA/P_Operate-DG1-1" \
  -H "Content-Type: application/json" \
  -H "Accept: application/json" \
  -d '{
        "in_username": "Unifi_Melfin2",
        "in_password": "Welcome2@1234567"
      }'
RESPONSE:
{
    "Total active users": "18",
    "Total assets with comments": "17",
    "Total assets without comments": "1858697",
    "Total assets with ratings": "15",
    "Total assets without ratings": "1858698",
    "Total assets with rating 1": "0",
    "Total assets with rating 2": "0",
    "Total assets with rating 3": "2",
    "Total assets with rating 4": "6",
    "Total assets with rating 5": "7",
    "Total assets which are certified": "1",
    "Total assets which are not certified": "1858712"
}</t>
  </si>
  <si>
    <t xml:space="preserve"> Metadata &amp; Data Catalog Performance</t>
  </si>
  <si>
    <t>DCMM.3.1.2</t>
  </si>
  <si>
    <t xml:space="preserve"> Metadata Quality KPIs</t>
  </si>
  <si>
    <t>Has the Entity defined and documented Metadata Quality KPIs to measure the metadata quality levels and trends?
هل قامت الجهة بتحديد وتوثيق مؤشرات الأداء الرئيسية  لجودة البيانات الوصفية لقياس مستويات جودة البيانات الوصفية واتجاهاتها؟</t>
  </si>
  <si>
    <t>List of defined and documented Metadata Quality KPIs
قائمة بمؤشرات الأداء الرئيسية  المحددة والموثقة لجودة البيانات الوصفية</t>
  </si>
  <si>
    <t>The Entity shall establish Key Performance Indicators (KPIs) to measure the effectiveness of Metadata Management efforts and guide continuous improvement initiatives. KPIs shall include, at a minimum:
SS1.Defining measurements for the quality of metadata according to the Data Quality Management standards</t>
  </si>
  <si>
    <t>curl -X POST \
  "https://emc1-cai.dm1-em.informaticacloud.com/active-bpel/public/rt/bHy4RORsmyRlzK8o3vcRmA/P_Operate-DG2" \
  -H "Content-Type: application/json" \
  -H "Accept: application/json" \
  -d '{
        "in_username": "Unifi_Melfin2",
        "in_password": "Welcome2@1234567"
      }'
RESPONSE:
{"Total number of times the Domain changed":"5",
"Total number of times the Sub Domain changed":"15",
"Total number of times the Dataset changed":"1856",
"Total number of times the Policy changed":"16",
"Total number of times the Business term changed":"9853",
"Total number of times the System changed":"81"}</t>
  </si>
  <si>
    <t>DCMM.3.1.3</t>
  </si>
  <si>
    <t xml:space="preserve"> Metadata &amp; Data Catalog Monitoring &amp; Reporting</t>
  </si>
  <si>
    <t xml:space="preserve">Has the Entity implemented  Metadata &amp; Data Catalog Monitoring &amp; Reporting mechanisms to track the entity's metadata quality and data catalog performance in alignment with the Metadata &amp; Data Catalog scorecards and dashboard templates as provided in the National Data Catalog &amp; Metadata Management Guidelines?
هل قامت الجهة بتنفيذ آليات مراقبة وإعداد تقارير البيانات الوصفية ودليل البيانات لتتبع جودة البيانات الوصفية وأداء دليل البيانات، بما يتماشى مع بطاقات قياس الأداء وقوالب لوحات المعلومات للبيانات الوصفية ودليل البيانات كما هو موضح في الدليل الوطني الإرشادي لدليل البيانات وإدارة البيانات الوصفية؟
</t>
  </si>
  <si>
    <t>Metadata &amp; Data Catalog scorecards and dashboards
بطاقات قياس ولوحات تحكم لدليل البيانات والبيانات الوصفية</t>
  </si>
  <si>
    <t>The Entity shall monitor and report on the Entity's metadata data management efforts based on the defined KPIs. This shall include, at a minimum:
SS1.Align metadata quality monitoring and reporting to all the data quality monitoring and reporting foundational sub-specifications as outlined in DQM.3.2.2</t>
  </si>
  <si>
    <t>curl -X POST \
  "https://emc1-cai.dm1-em.informaticacloud.com/active-bpel/public/rt/bHy4RORsmyRlzK8o3vcRmA/P_Operate-DG3" \
  -H "Content-Type: application/json" \
  -H "Accept: application/json" \
  -d '{
        "in_username": "Unifi_Melfin2",
        "in_password": "Welcome2@1234567"
      }'
RESPONSE:
{
    "Average accuracy score for the DQ rule": "67.89",
    "Average completeness score for the DQ rule": "47.13",
    "Average consistency score for the DQ rule": "93.31",
    "Average validity score for the DQ rule": "54.7",
    "Average uniqueness score for the DQ rule": "100",
    "Average timeliness score for the DQ rule": "93.31",
    "Total number of Catalog Source": "167",
    "Total Number of cataloag source covered data quality ": "5",
    "Catalog Source DQ Coverage ": "2.99",
    "Total number of data element": "1559284",
    "Total number of data elements covered data quality": "52",
    "Data Quality Rule Coverage for Data Elements": "0",
    "Total number of data quality rule": "95",
    "Number of DQ Rules with a Good Threshold Result": "33",
    "DQ Rule Good Rate": "34.74",
    "DQ Rule Acceptable Rate": "7.37",
    "DQ Rule Not Acceptable Rate": "28.42",
    "Total Number of extraction jobs happened in last 30 days": "24",
    "Total Number of extraction jobs happened in last 30 days which gets succeeded": "15",
    "Total Number of extraction jobs happened in last 30 days which gets failed": "3",
    "Total Number of extraction jobs happened in last 30 days which gets pending": "6",
    "Job Success Rate": "62.5"
}</t>
  </si>
  <si>
    <t>DCMM.3.1.4</t>
  </si>
  <si>
    <t>Has the Entity enhanced its Metadata &amp; Data Catalog monitoring and reporting capabilities?
هل قامت الجهة بتعزيز قدراتها في مراقبة وإعداد تقارير البيانات الوصفية ودليل البيانات؟</t>
  </si>
  <si>
    <t>Implementation proof of automated notifications within the Data Catalog tool to track changes to the Entity’s metadata and a tracking feature in the Data Catalog automated tool to oversee user activities
إثبات تنفيذ إشعارات آلية ضمن أداة دليل البيانات لتتبع التغييرات في البيانات الوصفية الخاصة بالجهة، بالإضافة إلى ميزة تتبع الأنشطة داخل الأداة الآلية لدليل البيانات</t>
  </si>
  <si>
    <t>The Entity shall enhance its metadata management monitoring and reporting capabilities as follows:
SS1.Align metadata quality monitoring and reporting to all the data quality monitoring and reporting advanced sub-specifications as outlined in DQM.3.2.2
SS2.Set up automated notifications within the Data Catalog tool to track changes to the Entity’s metadata, ensuring that users of the Entity’s data catalog are promptly informed of any updates
SS3.Implement a tracking feature in the Data Catalog automated tool to oversee user activities. This includes recording user logins and the operations they perform within the tool</t>
  </si>
  <si>
    <t>curl -X POST \
  "https://emc1-cai.dm1-em.informaticacloud.com
/active-bpel/public/rt/bHy4RORsmyRlzK8o3vcRmA/P_Operate-DG4" \
  -H "Content-Type: application/json" \
  -H "Accept: application/json" \
  -d '{
        "in_username": "Unifi_Melfin2",
        "in_password": "Welcome2@1234567"
      }'
RESPONSE:
{
  "Total number of tickets of type Data Quality Issue raised in the last one year": "0",
  "Total number of tickets of type Data Quality Issue raised in the last one year that are resolved": "0",
  "Total number of tickets of type Data Quality Issue raised in the last one year that are pending": "0",
  "Total number of tickets of type Approval Request for Change raised in the last one year": "7",
  "Total number of tickets of type Approval Request for Change raised in the last one year that are resolved": "0",
  "Total number of tickets of type Approval Request for Change raised in the last one year that are pending": "0",
  "Total number of datasets modified within the last 30 days": "0",
  "Total number of datasets created within the last 30 days": "0",
  "Total number of times the Dataset changed": "696"
}</t>
  </si>
  <si>
    <t>DSO.1.1</t>
  </si>
  <si>
    <t xml:space="preserve"> Data Storage &amp; Operations Policy</t>
  </si>
  <si>
    <t>DSO.1.1.1</t>
  </si>
  <si>
    <t xml:space="preserve"> Data Storage &amp; Retention Policy Creation</t>
  </si>
  <si>
    <t xml:space="preserve">Has the Entity developed Data Storage &amp; Retention Policy in alignment with 'Data Storage &amp; Retention Policy Template' provided in National Data Storage &amp; Operations Guidelines?
هل قامت الجهة بتطوير سياسة تخزين البيانات والاحتفاظ بها بما يتماشى مع نموذج سياسة تخزين البيانات والاحتفاظ بها المقدم في الدليل الوطني الإرشادي لتخزين البيانات والعمليات؟
</t>
  </si>
  <si>
    <t>Data Storage &amp; Retention Policy document
وثيقة سياسة تخزين البيانات والاحتفاظ بها</t>
  </si>
  <si>
    <t>The Entity shall establish a data storage &amp; retention policy that governs the secure and efficient storage of different types of data such as real-time data, near real-time data and offline data, ensuring compliance with legal laws and regulations.
SS1.The policy shall cover, at a minimum, the following:
•Overview, purpose, scope, and objectives of the policy
•Policy applicability, validity, and review
•Policy guidelines in alignment to the National Data Management Policy and Standards
•Detailed policy statements covering, at a minimum, the following:
◦Data storage and retention principles
◦Information systems prioritization based on their business criticality and potential risks (e.g.: financial) as a result of emergency or disaster
◦Database access rules (e.g.: role-based access control)
◦Data backup and recovery
◦Storage conditions based on approved regulations
◦Retention periods of data based on its type, classification, business requirements, and relevant contractual, regulatory, and legal requirements
◦Secure disposal and deletion of data based on the data type and classification
◦Required actions in the event of an accidental permanent loss of data
SS2.Roles and Responsibilities
SS3.References</t>
  </si>
  <si>
    <t>DSO.1.1.2</t>
  </si>
  <si>
    <t xml:space="preserve"> Data Storage &amp; Retention Policy Publication</t>
  </si>
  <si>
    <t>Has the Entity reviewed, approved, and published the Data Storage &amp; Retention Policy following the defined process in the National Data Storage &amp; Operations Guidelines?
هل قامت الجهة بمراجعة واعتماد ونشر سياسة تخزين البيانات والاحتفاظ بها وفقًا للعملية المحددة في الدليل الوطني الإرشادي لتخزين البيانات والعمليات؟</t>
  </si>
  <si>
    <t>Formal Policy dissemination communication material
مواد تواصل رسمية لنشر السياسة والتوعية بها</t>
  </si>
  <si>
    <t>The Entity shall publish its data storage &amp; retention policy following the below guidelines:
SS1.Review the draft policy with the Entity’s Data Committee or equivalent body
SS2.Incorporate Data Committee or equivalent body’s feedback
SS3.Review draft policy for auditability
SS4.Incorporate internal audit feedback
SS5.Seek policy review and guidance from National Data Office and incorporate the provided feedback
SS6.Publish the policy on Entity’s digital channels
SS7.Socialize the policy within the Entity to drive adoption and change management</t>
  </si>
  <si>
    <t>DSO.1.2</t>
  </si>
  <si>
    <t xml:space="preserve"> Data Storage &amp; Operations Planning</t>
  </si>
  <si>
    <t>DSO.1.2.1</t>
  </si>
  <si>
    <t xml:space="preserve"> Baseline Data Storage Capability Assessment</t>
  </si>
  <si>
    <t>Has the Entity assessed and documented the baseline data storage architecture of datasets, information systems and services under its control in alignment with the 'Baseline Storage Assessment Report Template' provided in the National Data Storage &amp; Operations Guidelines?
هل قامت الجهة بتقييم وتوثيق الهيكلية الأساسية لتخزين البيانات للمجموعات البيانية، ونظم المعلومات، والخدمات تحت سيطرتها وفقا لنموذج تقرير تقييم التخزين الأساسي المقدم في الدليل الوطني الإرشادي لتخزين البيانات والعمليات؟</t>
  </si>
  <si>
    <t>Baseline Storage Assessment Report
تقرير التقييم الأساسي للتخزين</t>
  </si>
  <si>
    <t>The Entity shall assess and document the baseline data storage architecture of datasets, information systems and services under its control. The Entity shall, at a minimum:
SS1.Conduct a comprehensive audit of data storage inventory (within both physical and virtual locations including Data Centers, Cloud, or any other site or location)
SS2.Conduct infrastructure utilization audits on all of its information systems and servers to determine the actual loads across the usage scenarios. An indicative list of measures (both peak and baseline measures) that the audits can record include CPU loads, memory loads, disk IO loads, network IO load, server availability, etc.
SS3.Categorize of all its information systems into at least one of the following portability categories: Legacy, Virtualize-able, and Cloud-able. This classification will aid in assessing the compatibility of an application or system with a selected target architecture and will facilitate the evaluation of its migration suitability</t>
  </si>
  <si>
    <t>DSO.1.2.2</t>
  </si>
  <si>
    <t xml:space="preserve"> Data Storage and Usage Requirements Forecasting</t>
  </si>
  <si>
    <t xml:space="preserve">Has the Entity conduct forecasts of the storage capacity required to support future business requirements in alignment with the 'Storage Forecasting Report Template ' provided in the National Data Storage &amp; Operations Guidelines?
هل قامت الجهة بإجراء توقعات لسعة التخزين المطلوبة لدعم متطلبات الأعمال المستقبلية وفقا لنموذج تقرير التنبؤ بالتخزين المقدم في الدليل الوطني الإرشادي لتخزين البيانات والعمليات؟
</t>
  </si>
  <si>
    <t>Storage Forecasting Report
تقرير التنبؤ باحتياجات التخزين</t>
  </si>
  <si>
    <t>The Entity shall conduct periodic forecasts of the storage capacity required to support future business requirements. Capacity and growth should be estimated not only for the space the data itself holds, but also for indexes, logs, and any redundant images such as mirrors.
SS1.Initial storage capacity estimate for the first year of operations
SS2.Storage capacity growth projection for the following 3-5 years
SS3.Estimation of the budget for future storage acquisitions</t>
  </si>
  <si>
    <t>DSO.1.2.3</t>
  </si>
  <si>
    <t xml:space="preserve"> Target Data Storage Infrastructure Architecture</t>
  </si>
  <si>
    <t>Has the Entity designed a target data storage infrastructure architecture that aligns with business needs, technological advancements, and the Cloud First Policy?
هل قامت الجهة بتصميم بنية تحتية مستهدفة لتخزين البيانات تتماشى مع احتياجات الأعمال، والتطورات التكنولوجية، وسياسة الحوسبة السحابية؟</t>
  </si>
  <si>
    <t>Target Data Storage Architecture Report
تقرير هندسة التخزين المستهدفة للبيانات</t>
  </si>
  <si>
    <t>Guided by the Baseline Data Storage Capability Assessment (DSO.1.2.1) and Data Storage and Usage Requirements Forecasting (DSO.1.2.2), the Entity shall design a target data storage infrastructure architecture to support business requirements and technological advancements. This shall include, at a minimum:
SS1.Engaging an infrastructure architecture team to determine a suitable target architecture for the storage of all data and records it holds, which shall be reviewed and approved by the Entity’s Data Committee during governance checkpoints, and NPC when necessary
SS2.Ensuring that its target architecture reflects the latest flexible infrastructure capabilities (e.g., Private Cloud, Virtualization, Storage Virtualization, Infrastructure-as-a-Service, Platform-as-a-Service, Software-as-a-Service, etc.) and is in alignment with the Cloud First Policy</t>
  </si>
  <si>
    <t>DSO.1.2.4</t>
  </si>
  <si>
    <t xml:space="preserve"> Data Storage &amp; Operations Roadmap</t>
  </si>
  <si>
    <t xml:space="preserve">Has the Entity developed a structured and actionable plan to transition from the current to the target data storage infrastructure, in alignment with the 'Data Storage &amp; Operations Roadmap Template' provided in the National Data Storage &amp; Operations Guidelines?
هل قامت الجهة بتطوير خطة هيكلية وقابلة للتنفيذ للانتقال من بنية تخزين البيانات الحالية إلى البنية المستهدفة لتخزين البيانات، بما يتماشى مع نموذج خارطة طريق تخزين البيانات والعمليات المقدم في الدليل الوطني الإرشادي لتخزين البيانات والعمليات؟
</t>
  </si>
  <si>
    <t>Data Storage &amp; Operations Roadmap
خارطة طريق تخزين البيانات والعمليات التشغيلية</t>
  </si>
  <si>
    <t>The Entity shall develop a data storage &amp; operations roadmap, in alignment with the Entity’s data strategy, that will be used and monitored to implement and activate the data storage &amp; operations initiatives across the Entity. The roadmap shall include, at a minimum:
SS1.Key initiatives, milestones, and timelines needed to transition from the current to the target data storage infrastructure architecture
SS2.The tools that need to be implemented to support data storage &amp; operations such as data modeling tools, database monitoring tools, database management tools, and developer support tools
SS3.Resource allocation outlining the budget, personnel, and technology resources required for each initiative</t>
  </si>
  <si>
    <t>DSO.2.1</t>
  </si>
  <si>
    <t xml:space="preserve"> Data Storage &amp; Operations Implementation</t>
  </si>
  <si>
    <t>DSO.2.1.1</t>
  </si>
  <si>
    <t xml:space="preserve"> Database Access Control</t>
  </si>
  <si>
    <t>Has the Entity defined and implemented processes and mechanisms required to manage and secure access to databases within an organization?
هل قامت الجهة بتحديد وتنفيذ العمليات والآليات اللازمة لإدارة وتأمين الوصول إلى قواعد البيانات داخل المنظمة؟</t>
  </si>
  <si>
    <t>Access Request and Approval Processes Documents
وثائق عمليات طلب الوصول والموافقة عليه</t>
  </si>
  <si>
    <t>SS1.The Entity shall establish and implement a process to grant its employees access to databases, utilizing Role-Based Access Control (RBAC) which involves defining specific roles within the organization, assigning appropriate permissions to these roles (e.g.: based on job functions), and enforcing access control to ensure compliance with privacy regulations and prevent unauthorized access</t>
  </si>
  <si>
    <t>DSO.2.1.2</t>
  </si>
  <si>
    <t xml:space="preserve"> Data Backup &amp; Recovery</t>
  </si>
  <si>
    <t xml:space="preserve">Has the Entity defined and implemented processes for data backup and recovery?
هل قامت الجهة بتحديد وتنفيذ عمليات النسخ الاحتياطي واستعادة البيانات؟
</t>
  </si>
  <si>
    <t>Data Backup &amp; Recovery Processes Documents
وثائق عمليات النسخ الاحتياطي واستعادة البيانات</t>
  </si>
  <si>
    <t>The Entity shall establish and implement a process for data backup and recovery including, at a minimum:
SS1.Defining backup frequency for each information system, as specified in the Data Storage SLAs (DSO.3.1.1)
SS2.Defining the backup scope for each information system, which shall include all critical data and database transaction logs to ensure comprehensive data recovery capability
SS3.Storing backups on physically separate storage media from the operational data. The primary backup location shall be on a RAID-configured Storage Area Network (SAN), with additional off-site storage to ensure data integrity in case of a local disaster.
SS4Performing periodic validations of backup integrity by restoring data from backup files to a non-production system. This ensures that the backup is complete, and the data is recoverable in its entirety.</t>
  </si>
  <si>
    <t>DSO.2.1.3</t>
  </si>
  <si>
    <t xml:space="preserve"> Disaster Recovery &amp; Business Continuity</t>
  </si>
  <si>
    <t xml:space="preserve">Has the Entity established and implemented a process to ensure business continuity in the event of disaster or adverse events that impact the Entity’s systems and its ability to use its data?
هل قامت الجهة بوضع وتنفيذ آلية لضمان استمرارية الأعمال في حال وقوع كوارث أو أحداث تؤثر على أنظمة الجهة وقدرتها على استخدام بياناتها؟
</t>
  </si>
  <si>
    <t>Disaster Recovery  &amp; Business Continuity Processes Documents
وثائق عمليات استمرارية الأعمال والتعافي من الكوارث</t>
  </si>
  <si>
    <t>The Entity shall establish, implement, and rehearse a process to ensure business continuity in the event of disaster or adverse events that impact the Entity’s systems and its ability to use its data. The Entity shall also refer to Qatar’s Cloud First Policy and the ISO 22301:2021 standard while defining the Disaster Recovery &amp; Business Continuity process. The process shall include, at a minimum:
SS1.Prioritized list of information systems defining an order of the information systems recovery
SS2.Assignment of roles responsible for addressing an incident response, including contact details of all stakeholders to be involved during an incident
SS3.Details of actions to be taken to activate a response to the incident
SS4.Details of actions to be taken to reduce the damage and mitigate the consequences of an incident on Entity's critical operations
SS5.Details of Recovery Point Objectives (a maximum targeted period within which data might be lost without causing damage to business) for each information system covered
SS6.Details of Recovery Time Objectives (a maximum targeted duration of time within which database can be down without causing damage to business) for each information system
SS7.Details of recovery activities</t>
  </si>
  <si>
    <t>DSO.2.1.4</t>
  </si>
  <si>
    <t xml:space="preserve"> Data Storage &amp; Operations Roadmap Activation</t>
  </si>
  <si>
    <t xml:space="preserve">Has the Entity activated its defined the Data Storage &amp; Operations Roadmap?
 هل قامت الجهة بتفعيل خارطة طريق التخزين والتشغيل التي تم تحديدها؟
</t>
  </si>
  <si>
    <t xml:space="preserve">Progress reports that clearly reflect the achievement of milestones
تقارير تقدم تعكس بوضوح تحقيق المراحل الأساسية
</t>
  </si>
  <si>
    <t>The Entity shall activate the Data Storage &amp; Operations Roadmap defined in DSO.1.2.4. The Entity shall, at a minimum:
SS1.Demonstrate progress by adhering to the predefined milestones and timelines specified in the roadmap, to clearly reflect the transition stages from the current to the target data storage infrastructure
SS2.Document deviations from the planned milestones and timelines, if any, and submit to the Data Committee for approval</t>
  </si>
  <si>
    <t>DSO.3.1</t>
  </si>
  <si>
    <t xml:space="preserve"> Data Storage &amp; Operations Performance and Change Management</t>
  </si>
  <si>
    <t>DSO.3.1.1</t>
  </si>
  <si>
    <t xml:space="preserve"> Data Storage SLAs</t>
  </si>
  <si>
    <t xml:space="preserve">Has the Entity established and documented Data Storage SLAs which ensure that databases, storage systems, and related IT infrastructure meet performance, availability, and recovery expectations?
هل قامت الجهة بتحديد وتوثيق اتفاقيات مستوى الخدمة  الخاصة بتخزين البيانات لضمان أن قواعد البيانات وأنظمة التخزين والبنية التحتية ذات الصلة تفي بتوقعات الأداء والتوافر والاسترجاع؟
</t>
  </si>
  <si>
    <t xml:space="preserve">Data Storage SLA document
وثيقة اتفاقية مستوى الخدمة  لتخزين البيانات
</t>
  </si>
  <si>
    <t>The Entity shall establish and implement data storage service-level agreements (SLAs) governed through formal agreements between IT data management services organizations and data owners, and that specify system performance, data availability, recovery expectations, and backup frequency. The SLAs shall include, at a minimum:
SS1.Timeframes during which databases are expected to be available for use
SS2.Maximum allowable execution time for application transactions
SS3.Backup frequency of the databases
SS4.Escalation process when the SLA is not met</t>
  </si>
  <si>
    <t>DSO.3.1.2</t>
  </si>
  <si>
    <t xml:space="preserve">Has the Entity implemented an automated system to monitor SLA compliance and trigger notifications when SLAs are breached?
هل قامت الجهة بتنفيذ نظام آلي لمراقبة الامتثال لاتفاقيات مستوى الخدمة  وإرسال إشعارات في حالة حدوث أي خروقات؟
</t>
  </si>
  <si>
    <t>Implementation proof of an automated SLA monitoring system
إثبات تنفيذ نظام آلي لمراقبة الامتثال لاتفاقيات مستوى الخدمة</t>
  </si>
  <si>
    <t>The Entity shall enhance its data storage SLAs capabilities as follows:
SS1.Automate the monitoring of SLAs by implementing a system that automatically monitor compliance with SLAs
SS2.Generate automated notifications and actions by implementing systems that automatically trigger emails or notifications to relevant stakeholders if SLAs are breached</t>
  </si>
  <si>
    <t>DSO.3.1.3</t>
  </si>
  <si>
    <t xml:space="preserve"> Database Performance Monitoring</t>
  </si>
  <si>
    <t xml:space="preserve">Has the Entity conducted database performance monitoring to that storage systems, database transactions, and resource utilization remain optimized for operational efficiency, in alignment (as applicable) with the 'Database Performance Scorecard &amp; Dashboard' templates provided in the National Data Storage &amp; Operations Guidelines?
هل قامت الجهة بإجراء مراقبة أداء قواعد البيانات لضمان أن تظل أنظمة التخزين، ومعاملات قواعد البيانات، واستخدام الموارد مُحسّنة من أجل الكفاءة التشغيلية، بما يتماشى (حسب الاقتضاء) مع نماذج بطاقة الأداء ولوحة المعلومات لأداء قواعد البيانات المقدمة في الدليل الوطني الإرشادي لتخزين البيانات والعمليات؟
</t>
  </si>
  <si>
    <t xml:space="preserve">Database Performance Scorecards &amp; Dashboards
بطاقات قياس ولوحات معلومات لأداء قواعد البيانات
</t>
  </si>
  <si>
    <t>The Entity shall continuously monitor data storage systems to ensure optimal performance, making necessary adjustments to accommodate increasing data volumes or evolving organizational needs, and resolve any issues promptly. This shall include, at a minimum:
SS1.Establishing reports and/ or dashboards to monitor and report on database performance on an on-going basis, covering metrics such as:
•Capacity metrics (e.g.: amount of storage used, number of storage containers, etc.)
•Performance metrics (e.g.: transaction frequency and quantity, query execution time, storage system uptime, etc.)
SS2.Identifying and documenting any negative trends by running activity and performance reports against both the DBMS and the server during periods of heavy activity, and comparing these reports to previous reports to facilitate ongoing analysis of issues</t>
  </si>
  <si>
    <t>DSO.3.1.4</t>
  </si>
  <si>
    <t xml:space="preserve"> Database Configuration Management</t>
  </si>
  <si>
    <t xml:space="preserve">Has the Entity defined and implemented configuration management processes to record modification to the database configuration, structures, constraints, permissions, thresholds, etc., in alignment with the 'Database Configuration Template' provided in the National Data Storage &amp; Operations Guidelines?
هل قامت الجهة بتحديد وتنفيذ عمليات إدارة التكوين لتوثيق التعديلات على تكوين قاعدة البيانات، والهياكل، والقيود، والأذونات، والعتبات، وما إلى ذلك، وفقا لنموذج تكوين قاعدة البيانات المقدم في الدليل الوطني الإرشادي لتخزين البيانات والعمليات؟
</t>
  </si>
  <si>
    <t xml:space="preserve">Database Configuration Processes Documents
وثائق عمليات ضبط إعدادات قواعد البيانات
</t>
  </si>
  <si>
    <t>The Entity shall establish and implement configuration management processes to record modification to the database configuration, structures, constraints, permissions, thresholds, etc. The process shall include, at a minimum, the following steps:
SS1.Configuration identification (i.e.: identification and documentation of the attributes defining the database system configuration)
SS2.Configuration change control (i.e.: implementation of changes in the defined database configuration)
SS3.Configuration status accounting (i.e.: tracking of implemented changes in the configuration)
SS4.Configuration audits (i.e.: ensuring that the installed database configuration is consistent with the documented configuration)</t>
  </si>
  <si>
    <t>DSO.3.1.5</t>
  </si>
  <si>
    <t xml:space="preserve"> Database Maintenance and Updates</t>
  </si>
  <si>
    <t>Has the Entity conducted database maintenances and updates to ensure integrity, security, and operational efficiency of its database systems?
هل قامت الجهة بإجراء صيانة وتحديثات قواعد البيانات لضمان نزاهة وأمن وكفاءة العمليات لأنظمة قواعد البيانات الخاصة بها؟</t>
  </si>
  <si>
    <t xml:space="preserve">Proof of maintenance and updates applied to database systems
إثبات عمليات الصيانة والتحديثات المطبقة على أنظمة قواعد البيانات
</t>
  </si>
  <si>
    <t>The Entity shall conduct database maintenances and updates to ensure integrity, security, and operational efficiency of its database systems. The Entity shall, at a minimum:
SS1.Implement maintenance patches provided by the database system vendor across all environments (e.g.: from development to production) following recommendations and prioritization by DBA specialists, security experts, and management
SS2.Ensure that its database systems and tools are updated to the latest published Vendor release. If the latest release is not applicable to the Entity, the Entity shall document the justification and submit to the Data Committee for approval
SS3.Ensure that it complies with all licensing agreements and regulatory requirements by conducting information asset tracking covering aspects such as software license costs, annual support costs, and server lease agreements costs</t>
  </si>
  <si>
    <t>SA.1.1</t>
  </si>
  <si>
    <t xml:space="preserve"> Statistics and Analytics Planning</t>
  </si>
  <si>
    <t>SA.1.1.1</t>
  </si>
  <si>
    <t xml:space="preserve"> Statistics indicators and Analytics Use Case Identification and Prioritization</t>
  </si>
  <si>
    <t xml:space="preserve">Has the Entity  identified, prioritized, and documented statistics indicators and analytics use case portfolio based on the Entity’s business strategy and key sector requirements, in alignment with the 'Statistics Indicators and Analytics Use Case Prioritization Framework' and 'Statistics Indicators and Analytics Use Case Library' templates provided in the National Statistics &amp; Analytics Guidelines?
هل قامت الجهة بتحديد، وإعطاء الأولوية، وتوثيق مؤشرات الإحصاءات ومحفظة حالات استخدام التحليلات بناءً على استراتيجية الأعمال الخاصة بالجهة والمتطلبات الرئيسية للقطاع، وذلك بما يتماشى مع نموذج تحديد أولويات مؤشرات الإحصاءات وحالات استخدام التحليلات ومكتبة مؤشرات الإحصاءات وحالات استخدام التحليلات الواردة في الدليل الوطني الإرشادي للإحصاءات والتحليلات؟
</t>
  </si>
  <si>
    <t>Statistics Indicators and Analytics Use Case Library
Statistics Indicators and Analytics Use Case Details
مكتبة مؤشرات الإحصاءات وحالات استخدام التحليلات
تفاصيل مؤشرات الإحصاءات وحالات استخدام التحليلات</t>
  </si>
  <si>
    <t>The Entity shall identify and prioritize statistics indicators and analytics use case portfolio based on the Entity's business strategy and key sector requirements. This list should extend beyond the indicators and use cases identified during the data strategy development phase, encompassing all the Entity’s business domains. This shall include, at a minimum:
SS1. Conducting ideation workshops and identify a long list of use cases (covering descriptive, diagnostic, predictive and prescriptive use cases) and indicators documented in a portfolio, with its name, description, and stakeholders to be involved in this use case and indicator.
SS2. Prioritize the long list of indicators and use cases for implementation based on a predefined prioritization framework/ matrix with criteria such as business impact and ease of implementation. Below is an indicative prioritization approach that can be followed:
• High value, Low effort to build (i.e.: quick wins)
• High value, High effort to build (i.e.: differentiators/ big projects)
• Low value, Low effort (i.e.: fill-ins)
• Low value, High effort (i.e.: time sinks/ money pits)</t>
  </si>
  <si>
    <t>SA.1.1.2</t>
  </si>
  <si>
    <t xml:space="preserve"> Statistics Indicators and Analytics Use Case Detailing</t>
  </si>
  <si>
    <t xml:space="preserve">Has the Entity developed detailed charters for each shortlisted use case in alignment with the 'Statistics Indicators and Analytics Use Case Charter ' templates provided in the National Statistics &amp; Analytics Guidelines?
هل قامت الجهة بتطوير مواثيق تفصيلية لكل حالة استخدام مختارة، وفقًا لنماذج مواثيق حالات استخدام مؤشرات الإحصاءات والتحليلات الواردة في إرشادات الإحصاءات والتحليلات الوطنية؟
</t>
  </si>
  <si>
    <t>Statistics Indicators and Analytics Use Case Charter Templates - Analytics Use Case Charter
Statistics Indicators and Analytics Use Case Charter Templates - Statistics Indicators Charter
قوالب ميثاق مؤشرات الإحصاءات وحالات استخدام التحليلات – ميثاق حالات استخدام التحليلات
قوالب ميثاق مؤشرات الإحصاءات وحالات استخدام التحليلات – ميثاق مؤشرات الإحصاءات</t>
  </si>
  <si>
    <t>The Entity shall detail each shortlisted use case in charters. The use case charters shall be compiled in use cases portfolio and include, at a minimum:
SS1. Use case description and development rationale
SS2, Type of Analytics leveraged (i.e.: discovery, descriptive, diagnostic, predictive, prescriptive)
SS3. The expected benefits and business value aimed to be derived (ROI), as well as the estimated costs of implementation through the development of a business case
SS4. Stakeholders involved in the implementation of the use case, the owner that would lead the use case, and the target consumers that would benefit from the insights generated by the use case
SS5. List of business requirements to implement the use case
SS6. List of functional requirements to implement the use case
SS7. Data sources that would feed the use case with the required data fields
SS8. Dependencies that need to be overcome to initiate development of the data product (e.g.: technologies, resources, and capabilities required to implement the use cases)
SS9. Indication if ethical, security and privacy components exist may exist and how they shall be addressed
SS10. The Entity Shall document in details each shortlisted statistics indicator at minimum with:
• Indicator Type
• Description
• Data elements
• Data Source(s)
• Calculation formula
• Indicator owner</t>
  </si>
  <si>
    <t>SA.1.1.3</t>
  </si>
  <si>
    <t xml:space="preserve"> Statistics indicators and Analytics Use Case Implementation Plan</t>
  </si>
  <si>
    <t xml:space="preserve">Has the Entity developed a comprehensive roadmap to pilot, deploy, and monitor analytics use cases and indicators, in alignment with the 'Statistics Indicators and Analytics Use Case Implementation Plan Template' provided in the National Statistics &amp; Analytics Guidelines?
هل قامت الجهة بتطوير خارطة طريق شاملة لتجربة، ونشر، ومراقبة حالات استخدام التحليلات ومؤشرات الإحصاءات، بما يتماشى مع نموذج خطة تنفيذ حالات استخدام مؤشرات الإحصاءات والتحليلات الوارد في  الدليل الوطني الإرشادي للإحصاءات والتحليلات؟
</t>
  </si>
  <si>
    <t>Statistics Indicators and Analytics Use Case Implementation Plan
خطة تنفيذ مؤشرات الإحصاءات وحالات استخدام التحليلات</t>
  </si>
  <si>
    <t>The Entity shall develop an implementation plan documenting the required activities to pilot the use cases and indicators, followed by production and then monitoring results. The implementation plan shall address, at a minimum:
SS1. High-Level Design – Conceptual design of the solution (e.g.: wireframes)
SS2. Staging and Production Environment Preparations – solution hosting environments during and after development
SS3. Development – Functional and non-functional requirements to be developed to meet the high-level design
SS4. Testing – Scope and types of testing to be conducted
SS5. Deployment and Schedule – Timeline for establishing a pilot and/ or delivery of the complete use case
SS6. Required Resources – Key personnel within the Entity who have the needed skills, expertise and knowledge to successfully implement the use case
SS7. Acceptance Criteria – Key criteria for measuring the successful implementation of the analytics use case, including legal, security, ethical and privacy criteria</t>
  </si>
  <si>
    <t>SA.1.1.4</t>
  </si>
  <si>
    <t xml:space="preserve"> Statistics Indicators and Analytics Use Case Data Sourcing Plan</t>
  </si>
  <si>
    <t xml:space="preserve">Has the Entity  developed a data sourcing plan for each indicator/ use case identified based on the use case implementation plan, in alignment with the 'Statistics and Analytics Use Case Data Sourcing Plan Template' provided in the National Statistics &amp; Analytics Guidelines?
هل قامت الجهة بتطوير خطة لاستخراج البيانات لكل مؤشر أو حالة استخدام محددة بناءً على خطة تنفيذ حالات الاستخدام، وفقًا لنموذج خطة استخراج بيانات حالات استخدام الإحصاءات والتحليلات الوارد في  الدليل الوطني الإرشادي للإحصاءات والتحليلات؟
</t>
  </si>
  <si>
    <t xml:space="preserve">Statistics and Analytics Use Case Data Sourcing Plan
خطة مصادر البيانات لمؤشرات الإحصاءات وحالات استخدام التحليلات
</t>
  </si>
  <si>
    <t>The Entity shall identify data sources and develop a data sourcing plan for each Indicator / use case identified based on the use case implementation plan. Data Sources shall include, but are not limited to:
SS1. Internal data to the Entity
SS2. Data from surveys and census
SS3. Data from other Entities
SS4. Data from 3rd party suppliers
SS5. Open Data from the National Open Data platform
SS6. Big Data</t>
  </si>
  <si>
    <t>SA.2.1</t>
  </si>
  <si>
    <t xml:space="preserve"> Statistics and Analytics Design</t>
  </si>
  <si>
    <t>SA.2.1.1</t>
  </si>
  <si>
    <t xml:space="preserve"> Statistics and Analytics Platform Design</t>
  </si>
  <si>
    <t xml:space="preserve">Has the Entity designed an integrated fit-for-purpose statistics and analytics platform and tools that are necessary to implement the planned statistics indicators and analytics use cases?
هل قامت الجهة بتصميم منصة متكاملة ومناسبة للإحصاءات والتحليلات، بالإضافة إلى الأدوات اللازمة لتنفيذ مؤشرات الإحصاءات وحالات استخدام التحليلات المخططة؟
</t>
  </si>
  <si>
    <t xml:space="preserve"> Statistics and Analytics Platform Design Documents
وثائق تصميم منصة الإحصاءات والتحليلات
</t>
  </si>
  <si>
    <t xml:space="preserve">The Entity shall design and plan for an integrated fit-for-purpose statistics and analytics platform and deployment of tools that are necessary to implement the planned statistics indicators and analytics use cases. The planned statistics and analytics platform and tools should allow for at a minimum:
SS1. The ingestion of data from various sources available on the private network within the Entity, on the government wide network with other government entities and on the internet with other organizations beyond the Qatar Government
SS2. The ability to ingest structured and unstructured data in a batched manner
SS3. The ability to store, process, organize and catalog and explore the ingested data, to be consumed for analytics purposes, in a scalable and secure manner
SS4. The ability to develop statistics and analytics models (covering Descriptive, Diagnostic, Predictive &amp; Prescriptive), and visualize its outcomes
SS5. The ability to serve raw and transformed data to other parties, to be consumed in a prepackaged format and as self-service
</t>
  </si>
  <si>
    <t>SA.2.1.2</t>
  </si>
  <si>
    <t xml:space="preserve"> Reporting and Dashboards Design Principles</t>
  </si>
  <si>
    <t xml:space="preserve">Has the Entity developed standardized guidelines and templates for reports and dashboards to ensure consistency and accuracy in data presentation across the Entity?
هل قامت الجهة بتطوير إرشادات ونماذج موحدة لإعداد التقارير ولوحات المعلومات لضمان الاتساق والدقة في عرض البيانات عبر الجهة؟
</t>
  </si>
  <si>
    <t xml:space="preserve">Standardized Templates and Branding Guidelines
النماذج الموحدة وإرشادات العلامة التجارية
</t>
  </si>
  <si>
    <t>SS1. The Entity shall develop standardized templates for reports and dashboards to ensure consistency and accuracy in data presentation across the Entity. These templates shall adhere to the Entity's branding guidelines, including the color scheme, typography, and logo placement, to maintain a cohesive visual identity throughout all internal and external communications</t>
  </si>
  <si>
    <t>SA.2.2</t>
  </si>
  <si>
    <t xml:space="preserve"> Statistics and Analytics Implementation</t>
  </si>
  <si>
    <t>SA.2.2.1</t>
  </si>
  <si>
    <t xml:space="preserve"> Statistics and Analytics Platform Implementation</t>
  </si>
  <si>
    <t xml:space="preserve">Has the Entity deployed its analytics platforms and tools in alignment with the strategic roadmap and architecture?
هل قامت الجهة بنشر منصات وأدوات التحليلات الخاصة بها وفقًا لخارطة الطريق والاستراتيجية المعتمدة؟
</t>
  </si>
  <si>
    <t xml:space="preserve">Proof of implementation of analytics platforms and tools
إثبات تنفيذ منصات وأدوات التحليلات
</t>
  </si>
  <si>
    <t>SS1. The Entity shall implement its statistics and analytics platform in alignment with the Entity’s roadmap, statistics and analytics platform architecture, as well as the defined use case implementation plan</t>
  </si>
  <si>
    <t>SA.2.2.2</t>
  </si>
  <si>
    <t xml:space="preserve"> Statistics Indicators and Analytics Use Case Implementation</t>
  </si>
  <si>
    <t xml:space="preserve">Has the Entity implemented its statistical indicators and analytics use cases in alignment with the predefined milestones and timelines specified in the roadmap?
هل قامت الجهة بتنفيذ مؤشرات الإحصاءات وحالات استخدام التحليلات بما يتماشى مع المعالم الزمنية والجداول المحددة مسبقًا في خارطة الطريق؟
</t>
  </si>
  <si>
    <t xml:space="preserve">Proof of implementation of use cases as per defined roadmap
إثبات تنفيذ حالات الاستخدام وفقًا لخارطة الطريق المحددة
</t>
  </si>
  <si>
    <t>The Entity shall adhere to GSBPM model to ensure following best practices for the statistical implementation processes during the Statistics Indicators and Analytics Use Case Implementation Plan activation defined in SA.1.1.3. The Entity shall, at a minimum:
SS1. Demonstrate progress by adhering to the predefined milestones and timelines specified in the roadmap
SS2. Document deviations from the planned milestones and timelines, if any, and submit to the Data Committee for approval</t>
  </si>
  <si>
    <t>SA.3.1</t>
  </si>
  <si>
    <t xml:space="preserve"> Statistics and Analytics Operations</t>
  </si>
  <si>
    <t>SA.3.1.1</t>
  </si>
  <si>
    <t xml:space="preserve"> Statistics and Analytics KPIs Portfolio</t>
  </si>
  <si>
    <t xml:space="preserve">Has the Entity established key performance indicators (KPIs) to measure the effectiveness of Statistics Indicators and Analytics Use Cases and guide continuous improvement initiatives, in alignment with the 'Data Management KPIs Register Template' provided in the National Statistics &amp; Analytics Guidelines?
هل قامت الجهة بتحديد مؤشرات الأداء الرئيسية (KPIs) لقياس مدى فاعلية مؤشرات الإحصاءات وحالات استخدام التحليلات وتوجيه مبادرات التحسين المستمر، وذلك وفقًا لنموذج سجل مؤشرات الأداء لإدارة البيانات الوارد في إرشادات الإحصاءات والتحليلات الوطنية؟
</t>
  </si>
  <si>
    <t xml:space="preserve"> Statistics and Analytics KPIs Portfolio
مجموعة مؤشرات الأداء الرئيسية  لمجال الإحصاءات والتحليلات
</t>
  </si>
  <si>
    <t>SS1. The Entity shall establish and maintain a comprehensive statistics and Analytics (KPIs) portfolio that includes, at a minimum, definitions, technical documentation and comprehensive descriptions of KPIs, calculation methods, and reporting frequencies of all the implemented indicators / use cases.</t>
  </si>
  <si>
    <t>SA.3.1.2</t>
  </si>
  <si>
    <t xml:space="preserve"> Statistics and Analytics User Guide</t>
  </si>
  <si>
    <t xml:space="preserve">Has the Entity  developed and maintained use case user guides/ manuals that provides instructions on the functionalities, operations, and best practices for running Statistics Indicators and Analytics Use Cases, in alignment with the 'Standard Operating Procedure (SOP)' template provided in the National Statistics &amp; Analytics Guidelines?
هل قامت الجهة بتطوير وصيانة أدلة المستخدم لحالات الاستخدام، والتي تتضمن إرشادات حول الوظائف، العمليات، وأفضل الممارسات لتشغيل مؤشرات الإحصاءات وحالات استخدام التحليلات، وفقًا لنموذج إجراءات التشغيل القياسية (SOP) الوارد في  الدليل الوطني الإرشادي للإحصاءات والتحليلات؟
</t>
  </si>
  <si>
    <t xml:space="preserve"> Statistics and Analytics User Guide Documents
وثائق دليل المستخدم للإحصاءات والتحليلات
</t>
  </si>
  <si>
    <t>SS1. The Entity shall develop and maintain a use case user guides/ manuals that detail the functionalities and operations of the use cases. Below is a non-exhaustive, indicative guideline of the contents that can be included in a user guide:
• Step-by-step instructions on how to access and navigate the analytics tools or platform
• Detailed guidance on how to set up and run specific analyses, including screenshots and command descriptions
• Explanation of various parameters that can be controlled by the user and their impacts on the analysis
• Examples of how to interpret common outputs or results within the context of the use case
• Support contact information (i.e.: how to get in touch with technical support or find further help)
• Definitions of technical terms and jargon used throughout the guide</t>
  </si>
  <si>
    <t>SA.3.1.3</t>
  </si>
  <si>
    <t xml:space="preserve"> Statistics and Analytics Use Case Performance Monitoring</t>
  </si>
  <si>
    <t xml:space="preserve">Has the Entity implemented maintenance and reporting activities to ensure that the indicators and use cases portfolio are performing as expected, in alignment with the 'Change Request &amp; Impact Assessment Template' provided in the National Statistics &amp; Analytics Guidelines?
هل قامت الجهة بتنفيذ أنشطة الصيانة وإعداد التقارير لضمان أن محفظة المؤشرات وحالات الاستخدام تعمل وفق التوقعات، بما يتماشى مع نموذج طلبات التغيير وتقييم الأثر الوارد في إرشادات الإحصاءات والتحليلات الوطنية؟
</t>
  </si>
  <si>
    <t xml:space="preserve">Change Request &amp; Impact Assessment Reports
تقارير طلبات التغيير وتقييم الأثر
</t>
  </si>
  <si>
    <t>The Entity shall implement maintenance and reporting activities to ensure that the indicators and use cases portfolio are performing as expected. The frequency of the process shall be aligned with the operations team capacity. These activities shall include, at a minimum:
SS1. Measuring and monitoring the value realization metrics for each Indicator / use case against projected values in the charters (refer to SA.1.1.2.SS3)
SS2. Operational monitoring of the indicators / use cases such as monitoring of the production pipeline (e.g.: through dashboards)
SS3. Implementing tools to gather feedback from feedback from end-users and monitoring adoption for the deployed indicator / use cases (e.g.: surveys)
SS4. Creating change request documents to address change requirements based on the feedback received from end-users</t>
  </si>
  <si>
    <t>DCL.1.1</t>
  </si>
  <si>
    <t xml:space="preserve"> Data Culture &amp; Literacy Assessment &amp; Planning</t>
  </si>
  <si>
    <t>DCL.1.1.1</t>
  </si>
  <si>
    <t xml:space="preserve"> Current State Data Literacy Skills Assessment</t>
  </si>
  <si>
    <t xml:space="preserve">Has the Entity conducted a current state assessment of data literacy skills across all organizational domains?
هل أجرت الجهة تقييماً حديثاً لمستوى مهارات المعرفة بالبيانات عبر جميع نطاقات المنظمة؟
</t>
  </si>
  <si>
    <t>Data Literacy Skills Assessment Survey
Educational Tools Inventory
Data Culture &amp; Literacy Gap Analysis
استبيان تقييم مهارات الوعي بالبيانات
قائمة الأدوات التعليمية
تحليل الفجوات في ثقافة ووعي البيانات</t>
  </si>
  <si>
    <t xml:space="preserve">C2: Limited Access 
C1: Internal
C2: Limited Access </t>
  </si>
  <si>
    <t>The Entity shall conduct a current state assessment of data literacy skills across all organizational domains. The current state assessment exercise shall, at a minimum:
SS1.Conduct a data literacy assessment survey across all the data roles in the different organizational archetypes recommended for entities. The skills assessment shall be aligned to the SFIA skills assessment framework
SS2.Document a list of all existing educational tools within the Entity used for data literacy training including online courses, workshops, and in-house training materials
SS3.Identify and document gaps in data literacy and prioritize areas that require enhancement based on the results of the data literacy skills assessment and existing educational tools</t>
  </si>
  <si>
    <t>DCL.1.1.2</t>
  </si>
  <si>
    <t xml:space="preserve"> Data Culture &amp; Literacy Program Roadmap</t>
  </si>
  <si>
    <t xml:space="preserve">Has the Entity developed a data culture &amp; literacy program roadmap, in alignment to the Entity’s data strategy and the data literacy survey assessment findings, that will be used to implement and activate data culture initiatives across the Entity?
هل قامت الجهة بتطوير خارطة طريق لبرنامج ثقافة البيانات والمعرفة بها وفقًا لاستراتيجية البيانات الخاصة بالجهة ونتائج تقييم استبيان المعرفة بالبيانات، والتي ستُستخدم لتنفيذ وتفعيل المبادرات المتعلقة بثقافة البيانات عبر الجهة؟
</t>
  </si>
  <si>
    <t>Initiatives Cards
Data Culture &amp; Literacy Plan
بطاقات المبادرات
خطة ثقافة البيانات والمعرفة بها</t>
  </si>
  <si>
    <t>C1: Internal
C2: Limited Access</t>
  </si>
  <si>
    <t>The Entity shall develop a data culture &amp; literacy program roadmap, in alignment to the Entity’s data strategy and the data literacy survey assessment findings, that will be used to implement and activate data culture initiatives across the Entity. The roadmap shall include, at a minimum:
SS1.List of initiatives and programs to be implemented to rectify the identified gaps from DCL.1.1.1
SS2.Prioritization and sequencing of initiatives based on their impact, feasibility, and alignment with business priorities and sequence them to ensure a logical progression towards the goals
SS3.Resource allocation outlining the budget, personnel, and technology resources required for each initiative</t>
  </si>
  <si>
    <t>DCL.2.1</t>
  </si>
  <si>
    <t xml:space="preserve"> Data Culture &amp; Literacy Program Design</t>
  </si>
  <si>
    <t>DCL.2.1.1</t>
  </si>
  <si>
    <t xml:space="preserve"> Program Framework</t>
  </si>
  <si>
    <t xml:space="preserve">Has the Entity establish a data culture &amp; literacy framework that specifies the list of defined personas, the training modes of delivery, and the structured certification schemes to recognize employees?
هل أسست الجهة إطار عمل لثقافة البيانات والمعرفة بها، يحدد قائمة الشخصيات المستهدفة، وأساليب تقديم التدريب، ونظم الشهادات المعتمدة للاعتراف بموظفيها؟
</t>
  </si>
  <si>
    <t>Data Culture &amp; Literacy Framework Document
وثيقة إطار عمل ثقافة البيانات والمعرفة بها</t>
  </si>
  <si>
    <t>The Entity shall establish a data culture &amp; literacy framework. The framework shall, at a minimum, include:
SS1.List of defined personas (the Entity can refer to the data operating model templates published by NPC for guidelines), outlining specific data roles and responsibilities tailored to varying functional areas within the Entity
SS2.Training modes of delivery (e.g.: Online, In Person, Hybrid) to cater to different learning preferences and logistical needs
SS3.Structured certification schemes designed to validate and recognize the data competencies acquired by employees</t>
  </si>
  <si>
    <t>DCL.2.1.2</t>
  </si>
  <si>
    <t xml:space="preserve"> Learning Paths</t>
  </si>
  <si>
    <t xml:space="preserve">Has the Entity defined and implemented structured learning paths for enhancing data culture &amp; literacy, tailored to the defined personas?
هل حددت الجهة مسارات تعلم ممنهجة لتعزيز ثقافة البيانات والمعرفة بها، بما يتناسب مع الفئات المستهدفة؟
</t>
  </si>
  <si>
    <t>Learning Paths and Curriculums Documentation
توثيق المسارات التعليمية والمناهج الدراسية</t>
  </si>
  <si>
    <t>The Entity shall define and implement structured learning paths for enhancing data culture &amp; literacy, tailored to the defined personas. The Entity shall, at a minimum:
SS1.Identify learning path durations and stages for each persona
SS2.Develop a detailed curriculum for each learning path, ensuring alignment with the persona’s specific roles and responsibilities within the data management lifecycle
SS3Cover all training modes of delivery identified in the program framework
SS4.List relevant certifications (if any) to be awarded after completing a learning path</t>
  </si>
  <si>
    <t>DCL.2.2</t>
  </si>
  <si>
    <t xml:space="preserve"> Data Culture &amp; Literacy Program Implementation</t>
  </si>
  <si>
    <t>DCL.2.2.1</t>
  </si>
  <si>
    <t xml:space="preserve"> Program Activation</t>
  </si>
  <si>
    <t xml:space="preserve">Has the Entity activated the data culture &amp; literacy program based on the established roadmap, program framework, and learning paths?
هل وضعت الجهة آلية لمراجعة مسارات التعلم المصممة بشكل دوري والعمل على تحسينها باستمرار؟
</t>
  </si>
  <si>
    <t xml:space="preserve">Proof of program deployment in accordance the identified personas (e.g.: documented training schedules and allocation of the necessary resources to support the effective execution of the program)
إثبات تنفيذ البرنامج وفقًا للفئات المستهدفة (مثل: جداول التدريب الموثقة وتخصيص الموارد اللازمة لدعم التنفيذ الفعّال للبرنامج)
</t>
  </si>
  <si>
    <t xml:space="preserve">C2: Limited Access
C2: Limited Access </t>
  </si>
  <si>
    <t>The Entity shall activate the data culture &amp; literacy program based on the established roadmap, program framework, and learning paths, leveraging the data literacy assets provided by the State of Qatar. The Entity shall, at a minimum:
SS1.Deploy the program in accordance with the personas, modes of delivery and certification schemes identified in the framework, and the initiatives detailed in the roadmap
SS2.Coordinate and document training schedules and certification processes to match the identified learning paths
SS3.Specify and allocate the necessary human and physical resources to support the effective execution of the program across the Entity</t>
  </si>
  <si>
    <t>DCL.2.2.2</t>
  </si>
  <si>
    <t xml:space="preserve"> Organizational Capability Integration</t>
  </si>
  <si>
    <t xml:space="preserve">Has the Entity developed a plan to integrate data culture and literacy upskilling into Human Resources processes to enhance organizational capabilities and incentivize employees to attend online and in-person training courses?
هل طورت الجهة خطة لدمج تحسين ثقافة البيانات والمعرفة بها ضمن عمليات الموارد البشرية لتعزيز القدرات التنظيمية وتحفيز الموظفين على حضور الدورات التدريبية عبر الإنترنت أو بالحضور الفعلي؟
</t>
  </si>
  <si>
    <t>Organizational Capability Integration Plan
خطة دمج القدرات المؤسسية</t>
  </si>
  <si>
    <t>The Entity shall develop a plan to integrate data culture and literacy upskilling into Human Resources processes to enhance organizational capabilities. The Entity shall, at a minimum, do the following:
SS1.Develop an integration plan that aligns data literacy achievements with HR processes, including promotions, annual performance reviews, and capability assessments
SS2.Establish a list of incentives for employees to engage in data literacy upskilling, linking successful completion of training and certification to advancement opportunities or other rewards as deemed appropriate</t>
  </si>
  <si>
    <t>DCL.3.1</t>
  </si>
  <si>
    <t xml:space="preserve"> Performance &amp; Change Management</t>
  </si>
  <si>
    <t>DCL.3.1.1</t>
  </si>
  <si>
    <t xml:space="preserve"> Communication &amp; Awareness</t>
  </si>
  <si>
    <t xml:space="preserve">Has the Entity designed and implemented a communication and awareness plan to promote the benefits of the data culture and literacy program?
هل صممت الجهة ونفذت خطة اتصال وتوعية للترويج لفوائد برنامج ثقافة البيانات والمعرفة بها؟
</t>
  </si>
  <si>
    <t>Timeline and Implementation Plan for Communication &amp; Awareness Activities
Proof of regularly published updates on the program’s progress and success stories
الجدول الزمني وخطة تنفيذ أنشطة الاتصال والتوعية
إثبات نشر تحديثات دورية حول تقدم البرنامج وقصص النجاح</t>
  </si>
  <si>
    <t>C1: Internal
C1: Internal</t>
  </si>
  <si>
    <t>The Entity shall design and implement a communication and awareness plan to promote the benefits of the data culture and literacy program. The Entity shall, at a minimum:
SS1.Design and execute the communication plan to raise awareness about the data literacy program across the organization. The plan shall, at a minimum, cover the following:
•Objectives of the plan
•Target audience within the Entity in alignment to the defined personas
•Key messages tailored to the target audience to be delivered
•Timeline and implementation of plan
SS2.Utilize multiple communication channels, including internal newsletters, intranet, pilot workshops, and other channels, to disseminate information about the program’s goals, benefits, and opportunities for employee participation
SS3.Publish regular updates on the progress and success stories of the data literacy initiatives to maintain engagement and demonstrate the impact of ongoing educational efforts</t>
  </si>
  <si>
    <t>DCL.3.1.2</t>
  </si>
  <si>
    <t xml:space="preserve"> Data Culture &amp; Literacy KPIs</t>
  </si>
  <si>
    <t xml:space="preserve">Has the Entity established key performance indicators (KPIs) to measure and report on the performance of the Data Culture &amp; Literacy Program, in alignment with the 'Data Management KPIs Register Template' provided in the National Data Culture &amp; Literacy Guidelines?
هل قامت الجهة بتحديد مؤشرات الأداء الرئيسية  لقياس وتقارير أداء برنامج ثقافة البيانات والمعرفة بها وفقًا لنموذج سجل مؤشرات الأداء الرئيسية لإدارة البيانات المقدم في الدليل الوطني لثقافة البيانات والمعرفة بها؟
</t>
  </si>
  <si>
    <t xml:space="preserve"> Data Culture &amp; Literacy KPIs Register
سجل مؤشرات الأداء الرئيسية  لثقافة البيانات والمعرفة بها
</t>
  </si>
  <si>
    <t>The Entity shall establish key performance indicators (KPIs) to measure and report on the Data Culture &amp; Literacy Program. KPIs shall include, at a minimum, the following:
SS1.Percentage satisfaction with the program among participants
SS2.Percentage improvement of data culture &amp; literacy within the Entity, guided by the periodic skills assessment
SS3.Percentage of participants who fully complete their respective learning path</t>
  </si>
  <si>
    <t>DCL.3.1.3</t>
  </si>
  <si>
    <t xml:space="preserve"> Data Culture &amp; Literacy Monitoring &amp; Reporting</t>
  </si>
  <si>
    <t xml:space="preserve">Has the Entity implemented mechanisms for monitoring and reporting on its Data Culture &amp; Literacy Program?
هل نفذت الجهة آليات لمراقبة أداء برنامج ثقافة البيانات والمعرفة بها والإبلاغ عنه بانتظام؟
</t>
  </si>
  <si>
    <t xml:space="preserve">Data Culture &amp; Literacy Program KPI Scorecard/ Report
بطاقة قياس/تقرير مؤشرات الأداء الرئيسية لبرنامج ثقافة البيانات والمعرفة بها
</t>
  </si>
  <si>
    <t>The Entity shall monitor and report on the Entity's data culture and literacy program at a pre-defined frequency based on the defined KPIs. This shall include, at a minimum:
SS1.Reports detailing performance against the established KPIs and tracking any issues</t>
  </si>
  <si>
    <t>DCL.3.1.4</t>
  </si>
  <si>
    <t xml:space="preserve"> Learning Path Review &amp; Continuous Improvement</t>
  </si>
  <si>
    <t>Has the Entity implemented mechanism to regularly review and continuously improve on the designed learning paths?
هل وضعت الجهة آلية لمراجعة مسارات التعلم المصممة بشكل دوري والعمل على تحسينها باستمرار؟</t>
  </si>
  <si>
    <t>Proof of updates applied to learning paths, incorporating feedback from course attendees as applicable
إثبات التحديثات المطبقة على المسارات التعليمية بناءً على ملاحظات المشاركين في الدورات التدريبية</t>
  </si>
  <si>
    <t>The Entity shall review and continuously improve on the designed learning paths. The Entity shall, at a minimum:
SS1.Establish a review schedule for evaluating the effectiveness and relevance of current learning paths to organizational goals and evolving business needs
SS2.Implement a structured feedback system to gather input from participants and trainers on the quality and applicability of training materials and instruction methods
SS3.Define procedures for timely updates to learning content and methods based on feedback and technological advancements</t>
  </si>
  <si>
    <t>DCL.3.1.5</t>
  </si>
  <si>
    <t xml:space="preserve">Has the Entity created a centralized online portal where all training materials, recordings, and additional resources are available on demand?
هل أنشأت الجهة بوابة إلكترونية مركزية تتيح الوصول عند الطلب إلى جميع المواد التدريبية والتسجيلات والموارد الإضافية؟
</t>
  </si>
  <si>
    <t>Proof of implementation of centralized learning portal
إثبات تنفيذ بوابة تعلم مركزية</t>
  </si>
  <si>
    <t>SS1.Create a centralized online portal where all training materials, recordings, and additional resources are available on demand</t>
  </si>
  <si>
    <t>DCL.3.1.6</t>
  </si>
  <si>
    <t>Has the Entity incorporated interactive elements and gamification into the training programs, such as quizzes and scenario-based learning?
هل قامت الجهة بدمج عناصر تفاعلية وتقنيات التحفيز بالألعاب في البرامج التدريبية، مثل الاختبارات والتعلم القائم على السيناريوهات؟</t>
  </si>
  <si>
    <t xml:space="preserve">Proof of integration of interactive elements and gamification into the training programs
إثبات دمج العناصر التفاعلية والتلعيب  في البرامج التدريبية
</t>
  </si>
  <si>
    <t>SS1.Incorporate interactive elements and gamification into the training programs, such as quizzes and scenario-based learning</t>
  </si>
  <si>
    <t>DCM.1.1</t>
  </si>
  <si>
    <t xml:space="preserve"> Document &amp; Content Management Policy</t>
  </si>
  <si>
    <t>DCM.1.1.1</t>
  </si>
  <si>
    <t xml:space="preserve"> Document &amp; Content Management Policy Creation </t>
  </si>
  <si>
    <t>Has the Entity developed a  Document &amp; Content Management Policy in alignment with ' Document &amp; Content Management Policy Template' provided in National  Document &amp; Content Management Guidelines?
هل قامت الجهة بتطوير سياسة لإدارة الوثائق والمحتوى وفقا "نموذج سياسة إدارة الوثائق والمحتوى" الوارد في الدليل الوطني الإرشادي لإدارة الوثائق والمحتوى؟</t>
  </si>
  <si>
    <t xml:space="preserve"> Document &amp; Content Management Policy document
وثيقة سياسة إدارة الوثائق والمحتوى</t>
  </si>
  <si>
    <t xml:space="preserve"> Foundational</t>
  </si>
  <si>
    <r>
      <rPr>
        <sz val="11"/>
        <color rgb="FF000000"/>
        <rFont val="Aptos Narrow"/>
        <scheme val="minor"/>
      </rPr>
      <t xml:space="preserve">The Entity shall create a document and content management policy to ensure the secure, standardized handling and management of documents and content throughout their lifecycle (creation, storage, access, retrieval, retention, versioning, backup, disposition or archival).
</t>
    </r>
    <r>
      <rPr>
        <b/>
        <sz val="11"/>
        <color rgb="FF000000"/>
        <rFont val="Aptos Narrow"/>
        <scheme val="minor"/>
      </rPr>
      <t>SS1:</t>
    </r>
    <r>
      <rPr>
        <sz val="11"/>
        <color rgb="FF000000"/>
        <rFont val="Aptos Narrow"/>
        <scheme val="minor"/>
      </rPr>
      <t xml:space="preserve"> The policy shall cover, at a minimum:
• Overview, purpose, scope, and objectives of the policy
• Policy applicability, validity, and review
• Policy guidelines in alignment to the National Data Management Policy and Standards
• Detailed policy statements covering, at a minimum, the following:
◦ Retention, archival, and disposal of documents
◦ Security measures for each type of document
◦ Document and content management tool features
◦ Training and awareness
• Roles and Responsibilities
• References</t>
    </r>
  </si>
  <si>
    <t>DCM.1.1.2</t>
  </si>
  <si>
    <t xml:space="preserve"> Document &amp; Content Management Policy Publication </t>
  </si>
  <si>
    <t xml:space="preserve">Has the Entity reviewed, approved, and published the  Document &amp; Content Management Policy following the defined process in the National Document &amp; Content Management Guidelines?
هل قامت الجهة بمراجعة واعتماد ونشر سياسة إدارة الوثائق والمحتوى وفقًا للعملية المحددة في الدليل الوطني لإدارة الوثائق والمحتوى؟
</t>
  </si>
  <si>
    <t>The Entity shall publish the created policy guided by the following steps:
SS1: Review the policy draft with key stakeholders
SS2: Incorporate key stakeholder’s feedback
SS3: Review the policy draft for auditability
SS4: Incorporate internal audit feedback
SS5: Publish the document and content management policy on Entity’s digital channels
SS6: Socialize the policy within the Entity to drive adoption</t>
  </si>
  <si>
    <t>DCM.1.2</t>
  </si>
  <si>
    <t xml:space="preserve"> Document &amp; Content Management Planning</t>
  </si>
  <si>
    <t>DCM.1.2.1</t>
  </si>
  <si>
    <t xml:space="preserve"> Document &amp; Content Management Plan </t>
  </si>
  <si>
    <t>Has the Entity developed a   Document &amp; Content Management Plan that will be used and monitored to implement and activate  document &amp; content management initiatives across the Entity, in alignment with the 'Document &amp; Content Management Plan Process and Template' as provided in the National   Document &amp; Content Management Guidelines?
هل قامت الجهة بوضع خطة لإدارة الوثائق والمحتوى ليتم استخدامها ومراقبتها لتنفيذ وتفعيل مبادرات إدارة الوثائق والمحتوى عبر الجهة، وفقًا لـ "نموذج وإجراءات خطة إدارة الوثائق والمحتوى" الوارد فيالدليل الوطني الإرشادي لإدارة الوثائق والمحتوى؟</t>
  </si>
  <si>
    <t xml:space="preserve"> Document &amp; Content Management Plan document
وثيقة خطة إدارة الوثائق والمحتوى</t>
  </si>
  <si>
    <t>Aligning with the Entity’s data strategy, the Entity shall develop a document and content management plan for implementation and activation of document and content management across the Entity. The plan shall include, at a minimum, the following:
SS1: List of initiatives, activities, and milestones. The plan should account for quick wins and longer-term strategic changes
SS2: List of owners and stakeholders
SS3: Interdependencies, assumptions, and risks
SS4: Implementation timeline and cost</t>
  </si>
  <si>
    <t>DCM.2.1</t>
  </si>
  <si>
    <t xml:space="preserve"> Document &amp; Content Management Assessment &amp; Design</t>
  </si>
  <si>
    <t>DCM.2.1.1</t>
  </si>
  <si>
    <t xml:space="preserve"> Inventory Assessment </t>
  </si>
  <si>
    <t xml:space="preserve">Has the Entity conducted an inventory assessment on the information assets that are currently available within the Entity?
هل أجرت الجهة تقييمًا لحصر الأصول المعلوماتية المتاحة حاليًا لديها؟
</t>
  </si>
  <si>
    <t xml:space="preserve">Inventory Assessment Report/ Document
تقرير/وثيقة تقييم الجرد
</t>
  </si>
  <si>
    <t xml:space="preserve"> Advanced</t>
  </si>
  <si>
    <t>The Entity shall:
SS1: Develop current state assessment report on the document management system or equivalent (if available) to ensure understanding and management of the Entity’s information assets</t>
  </si>
  <si>
    <t>DCM.2.1.2</t>
  </si>
  <si>
    <t xml:space="preserve"> Document Prioritization </t>
  </si>
  <si>
    <t>Has the Entity developed a list of prioritized documents for storage and management that shall be utilized to optimize the setup and ongoing management of the Entity’s Document Management System (DMS)?
هل قامت الجهة بإعداد قائمة بالوثائق ذات الأولوية للتخزين والإدارة، بهدف تحسين إعداد وإدارة نظام إدارة الوثائق الخاص بها؟</t>
  </si>
  <si>
    <t xml:space="preserve">List of Prioritized Documents
قائمة الوثائق ذات الأولوية
</t>
  </si>
  <si>
    <t>The Entity shall:
SS1: Develop list of prioritized documents for storage and management. The prioritized list of documents shall then be utilized to optimize the setup and ongoing management of the Entity’s Document Management System (DMS). Documents shall be prioritized considering their operational importance and relevance</t>
  </si>
  <si>
    <t>DCM.2.1.3</t>
  </si>
  <si>
    <t xml:space="preserve"> Workflow Prioritization </t>
  </si>
  <si>
    <t xml:space="preserve">Has the Entity  prioritized and designed the workflows that are to be implemented as automated workflows within the Document Management System (DMS)?
هل قامت الجهة بتحديد وتصميم مسارات العمل التي سيتم تنفيذها كمسارات عمل آلية داخل نظام إدارة الوثائق ؟
</t>
  </si>
  <si>
    <t>List of Prioritized Document Workflows
قائمة تدفقات العمل ذات الأولوية للوثائق</t>
  </si>
  <si>
    <t>The Entity shall prioritize and design the workflows that are to be implemented as automated workflows within the Document Management System (DMS). Prioritization shall be determined based on criteria such as, but not limited to business criticality and ease of implementation. The Entity shall:
SS1: Develop a list of prioritized workflows based on critical business processes within the Entity to be implemented
SS2: Design the identified prioritized workflows</t>
  </si>
  <si>
    <t>DCM.2.1.4</t>
  </si>
  <si>
    <t xml:space="preserve"> Information Architecture </t>
  </si>
  <si>
    <t xml:space="preserve">Has the Entity developed an information architecture that identifies the links and relationships between documents and content and specifies document attributes?
هل طورت الجهة بنية معلوماتية تحدد الروابط والعلاقات بين الوثائق والمحتوى وتحدد سمات الوثائق؟
</t>
  </si>
  <si>
    <t>Information Architecture Document
وثيقة هيكلة المعلومات</t>
  </si>
  <si>
    <t>The Entity shall develop an information architecture. The architecture shall identify the links and relationships between documents and content and specify document attributes. In detail, the Entity shall:
SS1: Design an architecture that methodically organizes documents and content to support the entity's business objectives and adhere to compliance standards. The architecture shall cover, at a minimum, the following:
• Design and implement controlled vocabularies to ensure consistent terminology across all
• Design and utilize taxonomies and ontologies to organize documents and content
• Design navigation maps that facilitate easy access to documents and content
• Design the metadata maps that outline the required metadata for documents and content
• Specify search functionality that allows users to efficiently find documents and content
• Design user flows that describe how users interact with documents and content</t>
  </si>
  <si>
    <t>DCM.2.2</t>
  </si>
  <si>
    <t xml:space="preserve"> Document &amp; Content Management Implementation</t>
  </si>
  <si>
    <t>DCM.2.2.1</t>
  </si>
  <si>
    <t xml:space="preserve"> Document &amp; Content Management Tool Implementation </t>
  </si>
  <si>
    <t xml:space="preserve">Has the Entity selected a Document &amp; Content Management Tool in alignment with the 'Tool Selection Criteria Template' and implemented the tool, as provided in the National  Document &amp; Content Management Guidelines?
هل اختارت الجهة أداة لإدارة الوثائق والمحتوى بما يتماشى مع "نموذج معايير اختيار الأدوات" وقامت بتنفيذها، وفقًا للدليل الوطني الإرشادي لإدارة الوثائق والمحتوى؟
</t>
  </si>
  <si>
    <t xml:space="preserve">Proof of implemented tool for DCM and the record of digitized documents
إثبات تنفيذ أداة لإدارة الوثائق والمحتوى  وسجل الوثائق التي تم رقمنتها
</t>
  </si>
  <si>
    <t>The Entity shall implement a Document Management System (DMS), which is a comprehensive tool for the electronic capture, storage, and management of documents, including electronic files and digital media.
SS1: Design an architecture that methodically organizes documents and content to support the entity's business objectives and adhere to compliance standards. The architecture shall cover, at a minimum, the following:
• Document versioning, including histories of changes
• Secured document access
•Global search and discovery on the registered documents
• Collaboration capabilities</t>
  </si>
  <si>
    <t>DCM.2.2.2</t>
  </si>
  <si>
    <t xml:space="preserve">Has the Entity enhanced its  document &amp; content management tooling capabilities to include additional advanced features as specified in the National Data Standards (as applicable)?
هل عززت الجهة قدراتها في أدوات إدارة الوثائق والمحتوى لتشمل ميزات متقدمة إضافية كما هو محدد في المعايير الوطنية للبيانات (حسب المتطلبات المعتمدة)؟
</t>
  </si>
  <si>
    <t>Tool version upgrade logs
Feature release notes
سجلات تحديثات إصدارات الأداة
ملاحظات إصدارات الميزات الجديدة</t>
  </si>
  <si>
    <t xml:space="preserve"> Very Advanced</t>
  </si>
  <si>
    <t>SS1: The system shall include the following additional features:
• OCR (Optical Character Recognition) functionality to analyze imported images
• Document indexing
• Documents workflows development
• Workflow automation
• Web Content Management System (WCMS): an application designed for storing and managing web content utilized by the Entity's portals and internet sites</t>
  </si>
  <si>
    <t>DCM.2.2.3</t>
  </si>
  <si>
    <t xml:space="preserve"> Records &amp; Content Capture </t>
  </si>
  <si>
    <t xml:space="preserve">Has the Entity implement a records and content capture process to ensure collection of information across its platforms?
هل قامت الجهة بتنفيذ عملية لالتقاط السجلات والمحتوى لضمان جمع المعلومات عبر منصاتها المختلفة؟
</t>
  </si>
  <si>
    <t>Records and content capture process document
وثيقة عملية التقاط وتسجيل المحتوى والسجلات</t>
  </si>
  <si>
    <t>The Entity shall implement a standardized records and content capture process to ensure collection of information across its platforms. The Entity shall, at a minimum, do the following:
SS1: Catalog all documents by tagging documents with the appropriate metadata
SS2: Define document quality criteria and conduct quality and usage assessments accordingly, and identify document redundancies or gaps
SS3:  Evaluate and document how will the documents support the business requirements</t>
  </si>
  <si>
    <t>DCM.2.2.4</t>
  </si>
  <si>
    <t xml:space="preserve"> Versioning &amp; Control </t>
  </si>
  <si>
    <t>Has the Entity establish and enforce a versioning and control process within the its Document Management System (DMS)?
هل أنشأت الجهة ونفذت عملية للتحكم في الإصدارات داخل نظام إدارة الوثائق  الخاص بها؟</t>
  </si>
  <si>
    <t>Versioning and control process document
وثيقة عملية إدارة الإصدارات والتحكم فيها</t>
  </si>
  <si>
    <t>The Entity shall establish and enforce a versioning and control process within the entity’s Document Management System (DMS). The process shall, at a minimum, have the following features:
SS1: Systematic tracking of all changes made to documents
SS2: Recovery of previous versions when necessary
SS3: Complete history of all document modifications
SS4: Real-time collaborative editing capabilities where document changes by multiple users are tracked and merged</t>
  </si>
  <si>
    <t>DCM.2.2.5</t>
  </si>
  <si>
    <t>Has the Entity enhanced its versioning and control capabilities to include features such as automated change notifications and historical version comparison?
هل عززت الجهة قدراتها في إدارة الإصدارات والتحكم بها لتشمل ميزات مثل الإشعارات التلقائية بالتغييرات والمقارنة بين الإصدارات السابقة؟</t>
  </si>
  <si>
    <t>Proof of enhanced versioning and control processes
إثبات تعزيز عمليات إدارة الإصدارات والتحكم فيها</t>
  </si>
  <si>
    <t>SS1: Automated Change Notifications: Implement notifications that automatically alert relevant stakeholders when changes are made to critical documents
SS2: Versions Comparison: Integrate tools within the DMS that allow users to easily compare different versions of a document. This feature shall highlight changes between versions, making it easier for users to review and understand modifications without having to manually inspect each version</t>
  </si>
  <si>
    <t>DCM.2.2.6</t>
  </si>
  <si>
    <t xml:space="preserve"> Backup &amp; Recovery </t>
  </si>
  <si>
    <t>Has the Entity  incorporated the document management system (DMS) into its overarching backup and recovery plan?
هل دمجت الجهة نظام إدارة الوثائق  الخاص بها ضمن خطة النسخ الاحتياطي والاستعادة الشاملة؟</t>
  </si>
  <si>
    <t>DCM Backup &amp; Recovery Procedures Document
وثيقة إجراءات النسخ الاحتياطي واستعادة البيانات لإدارة الوثائق والمحتوى</t>
  </si>
  <si>
    <t>SS1: The Entity shall incorporate the document management systems into the overarching backup and recovery plan, and the plan should include at minimum:
• Definition of the criteria for determining critical records
• Identification of critical records
• Plans for the protection and recovery of critical records</t>
  </si>
  <si>
    <t>DCM.2.2.7</t>
  </si>
  <si>
    <t xml:space="preserve">Has the Entity enhanced its DMS backup and recovery capabilities to incorporate differential and incremental backup activities?
هل قامت الجهة بتحسين قدرات النسخ الاحتياطي واستعادة البيانات في نظام إدارة الوثائق لديها لتشمل أنشطة النسخ الاحتياطي التفاضلي والنسخ الاحتياطي التزايدي؟
</t>
  </si>
  <si>
    <t xml:space="preserve">Proof of enhanced backup and recovery processes
إثبات تعزيز عمليات النسخ الاحتياطي والاستعادة
</t>
  </si>
  <si>
    <t>SS1: Differential and Incremental Backup activities: Implement differential and incremental backup activities to reduce the volume of data transferred and stored during each backup operation</t>
  </si>
  <si>
    <t>DCM.2.2.8</t>
  </si>
  <si>
    <t xml:space="preserve"> Retention &amp; Disposal </t>
  </si>
  <si>
    <t>Has the Entity established a retention and disposal process that is aligned to the retention periods that have been defined in the document and content management policy?
هل أنشأت الجهة عملية للاحتفاظ والتخلص من الوثائق تتماشى مع فترات الاحتفاظ المحددة في سياسة إدارة الوثائق والمحتوى؟</t>
  </si>
  <si>
    <t xml:space="preserve">Retention &amp; Disposal process document
وثيقة عملية الاحتفاظ والتخلص من الوثائق والمحتوى
</t>
  </si>
  <si>
    <t>The Entity shall establish a retention and disposal process that is aligned to the retention periods that have been defined in the document and content management policy. The Entity shall, at a minimum, do the following:
SS1:Review and confirm the necessity of records before disposal. This entails documentation of the confirmation process, including timestamps, user IDs, and reasons for disposal
SS2: Adopt suitable retirement and disposal techniques. Suitable techniques can be any of the following:
• Physical destruction of media, such as overwriting and secure deletion
• Extended retention within the Entity in an offline or nearline repository
• Transfer to an appropriate archival facility or body
• Delegation of responsibility to another Entity engaged in ongoing management</t>
  </si>
  <si>
    <t>DCM.2.2.9</t>
  </si>
  <si>
    <t xml:space="preserve"> Document &amp; Content Metadata </t>
  </si>
  <si>
    <t xml:space="preserve">Has the Entity published metadata for documents and content housed within the Entity’s Document Management Systems (DMS) using the Entity’s data catalog tool?
هل قامت الجهة بنشر البيانات الوصفية للوثائق والمحتوى المخزنة ضمن أنظمة إدارة الوثائق  التابعة لها باستخدام أداة دليل البيانات الخاصة بالجهة؟
</t>
  </si>
  <si>
    <t xml:space="preserve">Updated Data Catalog with metadata for documents and content
كتالوج بيانات محدث مع بيانات وصفية  للوثائق والمحتوى
</t>
  </si>
  <si>
    <t>The Entity shall publish metadata for documents and content housed within the Entity's Document Management Systems (DMS) using the Entity's data catalog tool. At a minimum, the Entity shall:
SS1: Populate the metadata in accordance with the procedures established in the metadata and data catalog management domain.
SS2: Incorporate metadata enrichment and integration tools that expand the metadata attributes to include, at a minimum, the following:
• Content sensitivity level
• User access history
• Inter-document relationships</t>
  </si>
  <si>
    <t>curl -X POST \
  "https://emc1-cai.dm1-em.informaticacloud.com/active-bpel/public/rt/bHy4RORsmyRlzK8o3vcRmA/P_DSPOR2" \
  -H "Content-Type: application/json" \
  -H "Accept: application/json" \
  -d '{
        "in_username": "Unifi_Melfin2",
        "in_password": "Welcome2@1234567"
      }'
RESPONSE:
{
    "Total number of data element classifications that are published": "230",
    "Total number of data element classifications that are Draft": "0",
    "Total Number of Data Elements Classified with High Sensitivity": "157",
    "Total Number of Data Elements Classified with Medium Sensitivity": "34",
    "Total Number of Data Elements Classified with Low Sensitivity": "21",
    "Total Number of assets related to classifications with C0": "0",
    "Total Number of assets related to classifications with C1": "0",
    "Total Number of assets related to classifications with C2": "0",
    "Total Number of assets related to classifications with C3": "0",
    "Total Number of assets related to classifications with C4": "0",
    "Number of assets linked with a business term (CDE) and associated with a classification.": "214"
}</t>
  </si>
  <si>
    <t>DCM.2.2.10</t>
  </si>
  <si>
    <t xml:space="preserve"> Content Publishing &amp; Delivery </t>
  </si>
  <si>
    <t>Has the Entity established a content publishing and delivery process?
هل وضعت الجهة عملية لنشر وتوزيع المحتوى؟</t>
  </si>
  <si>
    <t>Content Publishing &amp; Delivery process document
وثيقة عملية نشر وتوزيع المحتوى</t>
  </si>
  <si>
    <t>The Entity shall establish a content publishing and delivery process to do the following:
SS1:Define the publishing channels and ensure dissemination of information across them
SS2: Define the formatting, approval, and distribution processes, and implement them to enhance the accessibility and reliability of published content
SS3: Incorporate the use of metadata and keyword tagging to classify content within an appropriate information architecture, allowing search engines to return content based on keywords</t>
  </si>
  <si>
    <t>DCM.3.1</t>
  </si>
  <si>
    <t xml:space="preserve"> Performance Management</t>
  </si>
  <si>
    <t>DCM.3.1.1</t>
  </si>
  <si>
    <t xml:space="preserve"> Document &amp; Content Management KPIs </t>
  </si>
  <si>
    <t xml:space="preserve">Has the Entity establish key performance indicators (KPIs) to measure on its document management efficiency?
هل حددت الجهة مؤشرات أداء رئيسية لقياس كفاءة إدارة الوثائق والمحتوى لديها؟
</t>
  </si>
  <si>
    <t xml:space="preserve">List of defined and documented DCM KPIs
قائمة مؤشرات الأداء الرئيسية  المعرفة والموثقة لإدارة الوثائق والمحتوى
</t>
  </si>
  <si>
    <t>The Entity shall establish key performance indicators (KPIs) to measure and report on the Document Management System (DMS). KPIs shall include, at a minimum, the following:
SS1: Total quantity of documents stored and managed within the Entity's Document Management System (DMS)
SS2: Total number of users accessing the Entity's Document Management System (DMS)
SS3: Percentage of paper-based documents converted to electronic format within the Entity</t>
  </si>
  <si>
    <t>DCM.3.1.2</t>
  </si>
  <si>
    <t>Has the Entity enhanced its DCM KPIs by expanding them to include more advanced analytical KPIs?
هل عززت الجهة مؤشرات الأداء الرئيسية لإدارة الوثائق والمحتوى من خلال توسيعها لتشمل مؤشرات أداء تحليلية متقدمة؟</t>
  </si>
  <si>
    <t xml:space="preserve">Updated list of defined and documented DCM KPIs
قائمة محدثة لمؤشرات الأداء الرئيسية المعرفة والموثقة لإدارة الوثائق والمحتوى
</t>
  </si>
  <si>
    <t>SS1: Advanced Analytical KPIs: Introduce more sophisticated KPIs that measure not only basic metrics but also user engagement and efficiency of document retrieval and processing</t>
  </si>
  <si>
    <t>DCM.3.1.3</t>
  </si>
  <si>
    <t xml:space="preserve"> Document &amp; Content Management Monitoring &amp; Reporting </t>
  </si>
  <si>
    <t xml:space="preserve">Has the Entity implemented DCM monitoring &amp; reporting mechanisms to track the Entity's DCM efficiency in alignment with the DCM scorecards and dashboard templates as provided in the National   Document &amp; Content Management Guidelines?
هل قامت الجهة بتنفيذ آليات للرصد والتقارير الخاصة بإدارة الوثائق والمحتوى لمتابعة كفاءة إدارة الوثائق والمحتوى في الجهة، وفقًا لنماذج لوحات المتابعة والتقارير الخاصة بإدارة الوثائق والمحتوى الواردة في الدليل الوطني الإرشادي لإدارة الوثائق والمحتوى؟
</t>
  </si>
  <si>
    <t xml:space="preserve"> Document &amp; Content Management scorecards and dashboards
بطاقات قياس ولوحات تحكم لإدارة الوثائق والمحتوى</t>
  </si>
  <si>
    <t>The Entity shall further monitor the Entity's Document Management System (DMS) on a regular basis based on the defined KPIs. Monitoring shall include, at a minimum, the following:
SS1: Reports detailing performance against the established KPIs and tracking the issues and resolution
SS2: Reporting of identified issues to the identified internal organizational unit responsible for managing documents and content</t>
  </si>
  <si>
    <t>DCM.3.1.4</t>
  </si>
  <si>
    <t>Has the Entity enhanced its document &amp; content management monitoring and reporting capabilities?
هل عززت الجهة قدراتها في مراقبة وإعداد التقارير عن إدارة الوثائق والمحتوى؟</t>
  </si>
  <si>
    <t>SS1: Automated Reporting Tools: Implement automated reporting tools that generate real-time analytics on DMS performance. These tools shall provide dashboard views that are accessible to key stakeholders, offering insights into system usage patterns, bottleneck identification, and efficiency improvements</t>
  </si>
  <si>
    <t>DCM.3.1.5</t>
  </si>
  <si>
    <t xml:space="preserve"> Document &amp; Content Management SLAs </t>
  </si>
  <si>
    <t xml:space="preserve">Has the Entity establish and implement Service-Level Agreements (SLAs) for business-critical document and content management services?
هل قامت الجهة بوضع وتنفيذ اتفاقيات مستوى الخدمة للخدمات الدقيقة لإدارة الوثائق والمحتوى؟
</t>
  </si>
  <si>
    <t xml:space="preserve"> Document &amp; Content Management SLAs Document
وثيقة اتفاقيات مستوى الخدمة  لإدارة الوثائق والمحتوى
</t>
  </si>
  <si>
    <t>The Entity shall establish and implement Service-Level Agreements (SLAs) for business-critical document and content management services. These SLAs shall include, at a minimum, the following:
SS1: The types of documents and content covered by the SLA
SS2: The potential business impacts associated with the mismanagement or poor handling of documents and content
SS3: The standards for content quality, including accuracy, accessibility, completeness, and security, and the outline of business rules for managing each type of document
SS4:Methods for measuring compliance with the SLA, such as frequency of content updates, accuracy of content categorization, and response times for document retrieval
SS5: Acceptable performance thresholds for each metric, detailing minimum performance levels required
SS6: Notification protocol for Identifying the steward(s) or responsible parties if performance falls below the acceptability threshold
SS7:Clear timelines and deadlines for the resolution or remediation of identified issues
SS8: Escalation procedures for addressing SLA breaches, including steps to mitigate ongoing risks and the involvement of higher management
SS9: Potential rewards for consistent compliance with the SLA and penalties for failures</t>
  </si>
  <si>
    <t>DCM.3.1.6</t>
  </si>
  <si>
    <t xml:space="preserve"> Advanced Document &amp; Content Management SLAs </t>
  </si>
  <si>
    <t xml:space="preserve">Has the Entity implemented an automated system to monitor SLA compliance and trigger notifications when SLAs are breached?
هل قامت الجهة بتنفيذ نظام مؤتمت لمراقبة اتفاقيات مستوى الخدمة وإشعار عند خرقها؟
</t>
  </si>
  <si>
    <t>SS1: Automated Monitoring of SLAs: Implementing systems that automatically monitor compliance with SLAs. This ensures that issues are identified and addressed promptly without requiring manual checks</t>
  </si>
  <si>
    <t>DCM.3.1.7</t>
  </si>
  <si>
    <t xml:space="preserve"> Document &amp; Content Management Audit </t>
  </si>
  <si>
    <t>Has the Entity provided guidelines for document and content management audit aligned to the national data management compliance framework?
هل وفرت الجهة إرشادات لتدقيق إدارة الوثائق والمحتوى، بما يتماشى مع الإطار الوطني للامتثال في إدارة البيانات؟</t>
  </si>
  <si>
    <t xml:space="preserve"> Document &amp; Content Management Audit Guidelines
إرشادات تدقيق إدارة الوثائق والمحتوى
</t>
  </si>
  <si>
    <t>The Entity shall provide input and support to internal and external auditors on document and content management related topics. The Entity shall:
SS1: Provide audit guidelines for document and content management audit aligned to the national data management compliance framework - document and content management topic</t>
  </si>
  <si>
    <t>DM.1.1</t>
  </si>
  <si>
    <t xml:space="preserve"> Data Monetization Assessment &amp; Planning</t>
  </si>
  <si>
    <t>DM.1.1.1</t>
  </si>
  <si>
    <t xml:space="preserve"> Data Monetization Vision</t>
  </si>
  <si>
    <t xml:space="preserve">Has the Entity defined a data monetization vision to provide direction for data monetization initiatives and guide decision-making across the Entity?
هل قامت الجهة بتحديد رؤية واضحة لتحقيق استثمار البيانات بهدف توجيه مبادرات استثمار البيانات ودعم عملية اتخاذ القرار عبر الجهة؟
</t>
  </si>
  <si>
    <t xml:space="preserve">Articulated and documented Data Monetization Vision
رؤية تحقيق القيمة من البيانات  موثقة ومحددة بوضوح
</t>
  </si>
  <si>
    <t>SS1. The Entity shall establish a data monetization vision to acts a guiding principle, shaping all related initiatives and decisions, ensuring alignment with the overarching goal of achieving tangible economic benefits from data and with the broader business goals and objectives.</t>
  </si>
  <si>
    <t>DM.1.1.2</t>
  </si>
  <si>
    <t xml:space="preserve"> Data Monetization Capability Assessment</t>
  </si>
  <si>
    <t xml:space="preserve">Has the Entity conducted a capability assessment to evaluate the Entity's ability to monetize its data and identifying the gaps that need to be addressed to achieve effective data monetization?
هل قامت الجهة بإجراء تقييم للقدرات لقياس مدى قدرتها على تحقيق عوائد مالية من البيانات، وتحديد الفجوات التي يجب معالجتها لضمان استثمار فعال للبيانات؟
</t>
  </si>
  <si>
    <t>Capability Assessment Report
تقرير تقييم القدرات</t>
  </si>
  <si>
    <t>The Entity shall conduct a capability assessment to evaluate the Entity’s ability to monetize its data and identify the gaps that need to be addressed to achieve effective data monetization. The capability assessment exercise shall cover, at a minimum:
SS1. Data management maturity report covering all the domains in the national data management framework
SS2. Current state assessment report of existing technology and infrastructure</t>
  </si>
  <si>
    <t>DM.1.1.3</t>
  </si>
  <si>
    <t xml:space="preserve"> Data Products Identification &amp; Prioritization</t>
  </si>
  <si>
    <t xml:space="preserve">Has the Entity identified, prioritized, and detailed the data products that are required to realize the Entity’s data monetization vision and strategy?
هل قامت الجهة بتحديد، وإعطاء الأولوية، وتفصيل المنتجات البياناتية المطلوبة لتحقيق رؤية واستراتيجية استثمار البيانات الخاصة بها؟
</t>
  </si>
  <si>
    <t>Data Product Charters
مواثيق منتجات البيانات</t>
  </si>
  <si>
    <t>The Entity shall identify and prioritize the data products that are required to realize the Entity’s data monetization vision and strategy. For the identified data products, the Entity shall develop detailed charters for the identified data products. The charters shall outline, at a minimum:
SS1. Data product description and development rationale
SS2.High-level data product development cost estimate
SS3.Expected benefits and business value aimed to be derived (ROI)
SS4.Expected timeline for development and deployment of the data product
SS5.Data sources that would feed the data product and the required data fields
SS6.Priority level assigned to the data product. The Entity may follow the product effort-value matrix to prioritize its products as outlined in SA.1.1.1.SS2
SS7.Stakeholders involved in the implementation of the data product, the owner that would lead the data product, and the target consumers that would benefit from the insights generated by the data product
SS8.Dependencies that need to be overcome to initiate development of the data product (e.g.: technologies, resources, and capabilities required to implement the use cases)
SS9.Indication if ethical, security and privacy components exist may exist and how they shall be addressed</t>
  </si>
  <si>
    <t>DM.1.1.4</t>
  </si>
  <si>
    <t xml:space="preserve"> Data Monetization Delivery Model</t>
  </si>
  <si>
    <t xml:space="preserve">Has the Entity defined and documented the delivery model that it will adopt including in order to provide access to its data products?
هل قامت الجهة بتحديد وتوثيق نموذج تقديم الخدمات الذي سيتم اعتماده لتوفير الوصول إلى منتجاتها البياناتية؟
</t>
  </si>
  <si>
    <t xml:space="preserve">Documentation of Adopted Delivery Model(s)
توثيق نموذج (نماذج) التسليم المعتمد
</t>
  </si>
  <si>
    <t>SS1. The Entity shall define and document the delivery model that it will adopt including in order to provide access to its data products including, but not limited to:
•Raw Data (i.e.: involves selling data in its unprocessed form, usually as bulk downloads or physical media transfers)
•Data-as-a-Service (DaaS)/ API-based (i.e.: involves providing data through an API or online service, allowing customers to access up-to-date or real-time data directly through web services)
•Data Platform (i.e.: a comprehensive platform that not only provides data but also tools and functionalities to analyze and visualize that data)
•Data Marketplace (i.e.: an online platform where data providers can list and sell their data to interested buyers, and can include both raw data and APIs)</t>
  </si>
  <si>
    <t>DM.1.1.5</t>
  </si>
  <si>
    <t xml:space="preserve"> Data Monetization Pricing Model</t>
  </si>
  <si>
    <t xml:space="preserve">Has the Entity defined and documented the pricing model that it will adopt to charge customers on accessing its data products? 
هل قامت الجهة بتحديد وتوثيق نموذج التسعير الذي سيتم اعتماده لفرض رسوم على العملاء عند الوصول إلى منتجاتها البياناتية؟
</t>
  </si>
  <si>
    <t>Documentation of Adopted Pricing Model(s)
توثيق نموذج (نماذج) التسعير المعتمد</t>
  </si>
  <si>
    <t>SS1.The Entity shall define and document the pricing model that it will adopt to charge customers on accessing its data products including, but not limited to:
•One Time Flat Fee (i.e.: fixed price charged once for accessing the data product)
•Pay As You Go (i.e.: usage based depending on the amount of data consumed by the customer)
•Subscription Based (i.e.: recurring fee for accessing the data product)
•Freemium Model (i.e.: basic services are offered for free, while advanced features or higher usage limits are available in paid versions)
•Hybrid (i.e.: a combination of two or more pricing strategies)</t>
  </si>
  <si>
    <t>DM.1.1.6</t>
  </si>
  <si>
    <t xml:space="preserve"> Go-To-Market Strategy</t>
  </si>
  <si>
    <t xml:space="preserve">Has the Entity developed a go-to-market strategy to support the effective launch and promotion of its data products to the market?
هل قامت الجهة بتطوير استراتيجية للطرح في السوق لدعم إطلاق وترويج منتجاتها البياناتية بفعالية؟
</t>
  </si>
  <si>
    <t>Go-to-Market Strategy Document
وثيقة استراتيجية الدخول إلى السوق</t>
  </si>
  <si>
    <t>The Entity shall develop a go-to-market strategy to support the effective launch and promotion of its data products to the market. The strategy shall include, at a minimum:
SS1.A list of identified target industries/ audience that can benefit the most from the Entity’s data products
SS2.A defined value proposition that may highlight how the Entity’s data products can solve specific problems or add value to businesses
SS3.A plan outlining the marketing and sales activities and the channels the Entity will use to reach its target audience effectively. This may include content marketing, social media campaigns, email marketing, webinars, or channel partnerships</t>
  </si>
  <si>
    <t>DM.1.1.7</t>
  </si>
  <si>
    <t xml:space="preserve"> Data Monetization Roadmap</t>
  </si>
  <si>
    <t xml:space="preserve">Has the Entity  developed a data monetization roadmap, in alignment with the Entity’s data strategy, to activate data monetization initiatives across the Entity?
هل قامت الجهة بتطوير خارطة طريق لاستثمار البيانات تتماشى مع استراتيجية البيانات الخاصة بها، وذلك لتفعيل مبادرات استثمار البيانات عبر الجهة؟
</t>
  </si>
  <si>
    <t xml:space="preserve"> Data Monetization Roadmap Document
وثيقة خارطة طريق تحقيق القيمة من البيانات
</t>
  </si>
  <si>
    <t>The Entity shall develop a data monetization roadmap, in alignment with the Entity’s data strategy, that will be used and monitored to implement and activate data monetization initiatives across the Entity. The roadmap shall include, at a minimum:
SS1.List of initiatives required to:
Rectify identified gaps based on the data monetization capability assessment conducted in DM.1.1.2 (e.g.: this could include data quality improvement, technology investments, etc.)
Develop, test and deploy the data products identified and prioritized in DM.1.1.3
SS2.Sequencing of data monetization initiatives based on their impact, feasibility, and alignment with business priorities and sequence them to ensure a logical progression towards the goals
SS3.Resource allocation outlining the budget, personnel, and technology resources required for each initiative</t>
  </si>
  <si>
    <t>DM.2.1</t>
  </si>
  <si>
    <t xml:space="preserve"> Data Monetization Design</t>
  </si>
  <si>
    <t>DM.2.1.1</t>
  </si>
  <si>
    <t xml:space="preserve"> Data Products Proof of Concept</t>
  </si>
  <si>
    <t xml:space="preserve">Has the Entity  developed and tested a proof-of-concept (POC) for each data product on a sandbox/ non-production environment, prior to initiating full-scale development and deployment?
هل قامت الجهة بتطوير واختبار إثبات المفهوم  لكل منتج بياناتي في بيئة تجريبية/غير إنتاجية، قبل الشروع في التطوير الكامل والتنفيذ؟
</t>
  </si>
  <si>
    <t xml:space="preserve">Proof of POC implementation and test results
إثبات تنفيذ نموذج إثبات المفهوم  ونتائج الاختبارات
</t>
  </si>
  <si>
    <t>Aligned to the plan outlined in the Data Monetization Roadmap (refer to DM.1.1.7), the Entity shall develop and test a proof-of-concept (POC) for each data product on a sandbox/ non-production environment, prior to initiating full-scale development and deployment of the data product</t>
  </si>
  <si>
    <t>DM.2.1.2</t>
  </si>
  <si>
    <t xml:space="preserve"> Data Product Architecture</t>
  </si>
  <si>
    <t xml:space="preserve">Has the Entity  designed a data product architecture including high-level and low-level design documents, in alignment with the national data architecture and modeling standards?
هل قامت الجهة بتصميم بنية هيكلية لمنتجات البيانات، تتضمن تصميمات تفصيلية وعالية المستوى، بما يتماشى مع المعايير الوطنية لهيكلة البيانات ونمذجتها؟
</t>
  </si>
  <si>
    <t>High-level Design Document
Low-level Design Document
وثيقة التصميم عالي المستوى
وثيقة التصميم منخفض المستوى</t>
  </si>
  <si>
    <t>The Entity shall design the data product architecture with a focus on scalability, security, and integration, and ensuring alignment with the national data architecture and modeling standards. This exercise shall include, at a minimum:
SS1.Developing a high-level design document that includes the following indicative list of contents:
•Brief description of the data product
•Business and technical requirements
•High-level architecture diagram across the different layers (e.g.: integration layer, ingestion and storage layer, data processing layer, and presentation layer)
•Associated business processes
•User stories/ journeys
•Data flow diagrams
SS2.Developing a low-level design document that includes the following indicative list of contents:
•Detailed design diagrams covering class diagrams, sequence diagrams, state diagrams, detailed module descriptions, database schema design
•Algorithm design (e.g.: pseudocode, flowcharts)
•User interface design (e.g.: screen layouts, user flows, navigation maps)
•Security specifications (e.g.: security controls, encryption techniques)</t>
  </si>
  <si>
    <t>DM.2.1.3</t>
  </si>
  <si>
    <t xml:space="preserve"> Data Contracts</t>
  </si>
  <si>
    <t xml:space="preserve">Has the Entity developed data contracts to for each data product provided/ exchanged?
هل قامت الجهة بتطوير عقود بيانات لكل منتج بياناتي يتم توفيره أو تبادله؟
</t>
  </si>
  <si>
    <t>Data Contracts Documents
وثائق عقود البيانات</t>
  </si>
  <si>
    <t>The Entity shall ensure that each data product provided or exchanged has an associated data contract/ data sharing agreement. The data contract shall be developed in alignment with the data sharing, integration &amp; interoperability standards and shall outline, at a minimum:
SS1.Parties Involved (i.e.: identification of all parties involved in the data exchange)
SS2.Data Description (i.e.: detailed description of the data, including data type, format, and volume)
SS3.Terms of Use (i.e.: specifications of the terms under which the data is provided or exchanged)
SS4.Security and Privacy Requirements (i.e.: outline of security and privacy measures in compliance with applicable laws)
SS5.Terms of Access (i.e.: details on access conditions, including duration, exclusivity, and renewal conditions)
SS6.Customer Obligations (i.e.: mechanisms for ensuring customer adherence to the terms of the agreement)
SS7.Termination Conditions (i.e.: specifications on how and when the contract can be terminated)
SS8.Data Retention and Deletion (i.e.: obligations concerning the retention and deletion of data post-contract termination)</t>
  </si>
  <si>
    <t>DM.2.2</t>
  </si>
  <si>
    <t xml:space="preserve"> Data Monetization Implementation</t>
  </si>
  <si>
    <t>DM.2.2.1</t>
  </si>
  <si>
    <t xml:space="preserve"> Data Monetization Function Activation</t>
  </si>
  <si>
    <t xml:space="preserve">Has the Entity activated the data monetization function to support data monetization efforts and initiatives effectively?
هل قامت الجهة بتفعيل وظيفة استثمار البيانات لدعم جهود ومبادرات استثمار البيانات بشكل فعال؟
</t>
  </si>
  <si>
    <t>Proof of implementation of the enabling systems/ technology to support data monetization operations (e.g.: CRM, billing,
payment, finance, etc.)
Proof of provisioning of the relevant capabilities through hiring or upskilling the resources required to develop and deploy the identified data products
Proof of implementation of marketing and sales activities as per the defined plan
إثبات تنفيذ الأنظمة والتقنيات الداعمة لعمليات تحقيق القيمة من البيانات (مثل: إدارة علاقات العملاء ، الفوترة، الدفع، المالية، إلخ.)
إثبات توفير القدرات ذات الصلة من خلال التوظيف أو تطوير مهارات الموارد المطلوبة لتطوير ونشر منتجات البيانات المحددة
إثبات تنفيذ أنشطة التسويق والمبيعات وفقًا للخطة المعتمدة</t>
  </si>
  <si>
    <t>The Entity shall activate the data monetization function to support data monetization efforts and initiatives effectively. The Entity shall, at a minimum:
SS1.Implement the enabling systems/ technology to support data monetization operations (e.g.: CRM, billing, payment, finance, etc.)
SS2.Build the relevant capabilities through hiring or upskilling the resources required to develop and deploy the identified data products (as outlined in DM.1.1.3.SS7)
SS3.Implement marketing and sales activities as per the defined plan in DM.1.1.6.SS3</t>
  </si>
  <si>
    <t>DM.2.2.2</t>
  </si>
  <si>
    <t xml:space="preserve"> Data Product Development &amp; Deployment</t>
  </si>
  <si>
    <t xml:space="preserve">Has the Entity conducted a full-scale development of its data products, in alignment to the plan outlined in its Data Monetization Roadmap?
هل قامت الجهة بتنفيذ التطوير الكامل لمنتجات البيانات الخاصة بها، وفقًا للخطة الموضحة في خارطة طريق استثمار البيانات؟
</t>
  </si>
  <si>
    <t>Proof of deployed data products on Entity's data marketplace
إثبات نشر منتجات البيانات في سوق البيانات الخاصة بالجهة</t>
  </si>
  <si>
    <t>Based on the results of the proof of concepts and aligned to the plan outlined in the Data Monetization Roadmap (refer to DM.1.1.7), the Entity shall conduct a full-scale development of the data products. The Entity shall, at a minimum:
SS1.Ensure the developed data products are deployed on a production environment, ensuring alignment with the delivery and pricing models defined in DM.1.1.4 and DM.1.1.5 respectively
SS2.Measure and publish the data quality score for each of the Entity’s deployed data products across all the data quality dimensions outlined in DQM.1.1.1. An overall data quality score shall also be assigned for each data product by averaging the data quality scores for each data quality dimension
SS3.Define and publish SLAs for the deployed data products (e.g.: service uptime/ availability, response time and resolution time in incidents where the data source is unavailable or degraded, etc.)
SS4.Define and publish metadata information for each of the deployed data products covering, for example, temporal granularity, update frequency, etc.
SS5.Implement versioning for each of the deployed data products, highlighting the version number and a description of the changes</t>
  </si>
  <si>
    <t>DM.3.1</t>
  </si>
  <si>
    <t xml:space="preserve"> Data Monetization Performance &amp; Change Management</t>
  </si>
  <si>
    <t>DM.3.1.1</t>
  </si>
  <si>
    <t xml:space="preserve"> Data Products Monitoring &amp; Maintenance</t>
  </si>
  <si>
    <t xml:space="preserve">Has the Entity defined and implemented processes for ongoing monitoring of its deployed data products to ensure continuous improvement to the data products and that the products remain aligned with user needs and market demands?
هل قامت الجهة بتحديد وتنفيذ عمليات لمراقبة المنتجات البياناتية المنشورة بشكل مستمر، لضمان تحسينها المستمر وتوافقها مع احتياجات المستخدمين ومتطلبات السوق؟
</t>
  </si>
  <si>
    <t xml:space="preserve">Documented monitoring &amp; maintenance processes of data products
توثيق عمليات المراقبة والصيانة لمنتجات البيانات
</t>
  </si>
  <si>
    <t>The Entity shall establish and implement processes for ongoing monitoring of its deployed data products. These processes shall act as a feedback loop to ensure continuous improvement to the data products and that the products remains aligned with user needs and market demands. These processes shall include, at a minimum:
SS1.Measuring and monitoring the value realization metrics for each data product against projected values in the Data Product Charters (refer to DM.1.1.3.SS3)
SS2.Implementing tools to gather feedback from feedback from end-users and monitoring adoption for the deployed data products, such as surveys or in-platform feedback forms
SS3.Monitoring the data quality score established for each data product (refer to DM.2.2.2), ensuring that data quality thresholds are adhered to for the deployed data products (refer to the national data quality management standards for more information on data quality thresholds and data quality issue management and remediation)
SS4.Tracking compliance to the established data product SLAs (refer to DM.2.2.2) through dashboards or reports
SS5.Creating change request documents to address change requirements based on the feedback received from end-users</t>
  </si>
  <si>
    <t>DSII.1.1</t>
  </si>
  <si>
    <t xml:space="preserve"> Data Sharing, Integration &amp; Interoperability Policy</t>
  </si>
  <si>
    <t>DSII.1.1.1</t>
  </si>
  <si>
    <t xml:space="preserve"> Data Sharing, Integration &amp; Interoperability Policy Creation </t>
  </si>
  <si>
    <t xml:space="preserve">Has the Entity developed a  Data Sharing, Integration &amp; Interoperability Policy in alignment with 'Data Sharing, Integration &amp; Interoperability Policy Template' provided in National  Data Sharing, Integration &amp; Interoperability Guidelines?
هل قامت الجهة بوضع سياسة لتبادل البيانات وتكاملها وإمكانية التشغيل البيني بما يتماشى مع "نموذج سياسة تبادل البيانات وتكاملها وإمكانية التشغيل البيني" الوارد في الدليل الوطني الإرشادي لتبادل البيانات وتكاملها وإمكانية التشغيل البيني؟
</t>
  </si>
  <si>
    <t xml:space="preserve">Data Sharing, Integration &amp; Interoperability Policy document
وثيقة سياسة تبادل البيانات وتكاملها وإمكانية التشغيل البيني
</t>
  </si>
  <si>
    <t>SS1. The Entity shall create a data sharing, integration &amp; Interoperability policy in alignment with the national data standards to ensure a focused approach for the ability of consistently share high-quality data both within the Entity and between Government Entities. The policy shall cover at minimum, the following:
• Overview, purpose, scope, and objectives of the policy
• Policy applicability, validity, and review
• Policy guidelines in alignment to the National Data Management Policy and Standards
• Detailed policy statements covering, at a minimum, the following:
◦ Data Sharing Process
◦ Data Sharing Agreements
◦ Current and Target Data Integration &amp; Interoperability Architecture
◦ Integration &amp; Interoperability Solution Development Lifecycle
◦ Integration &amp; Interoperability Platform and Tools
◦ Performance management and monitoring
◦ Periodic policy review and updates
◦ Key policy performance indicators</t>
  </si>
  <si>
    <t>DSII.1.1.2</t>
  </si>
  <si>
    <t xml:space="preserve"> Data Sharing, Integration &amp; Interoperability Policy Publication </t>
  </si>
  <si>
    <t xml:space="preserve">Has the Entity reviewed, approved, and published the  Data Sharing, Integration &amp; Interoperability Policy following the defined process in the National Data Sharing, Integration &amp; Interoperability Guidelines?
هل قامت الجهة بمراجعة واعتماد ونشر سياسة تبادل البيانات وتكاملها وإمكانية التشغيل البيني وفقًا للعملية المحددة في الدليل الوطني الإرشادي لتبادل البيانات وتكاملها وإمكانية التشغيل البيني؟
</t>
  </si>
  <si>
    <t xml:space="preserve">Formal Policy dissemination communication material
مواد تواصل رسمية لنشر السياسة 
</t>
  </si>
  <si>
    <t>The Entity shall publish its data sharing, Integration and interoperability policy following the below guidelines
SS1. Review the draft policy with the Entity’s Data Committee or equivalent body
SS2. Incorporate Data Committee or equivalent body’s feedback
SS3. Review draft policy for auditability
SS4. Incorporate internal audit feedback
SS5. Seek policy review and guidance from National Data Governance Office and incorporate the provided feedback
SS6. Publish the policy on Entity’s digital channels (e.g. The entity website)
SS7. Socialize the policy within the Entity to drive adoption and change management</t>
  </si>
  <si>
    <t>DSII.1.2</t>
  </si>
  <si>
    <t xml:space="preserve"> Data Sharing, Integration &amp; Interoperability Planning</t>
  </si>
  <si>
    <t>DSII.1.2.1</t>
  </si>
  <si>
    <t xml:space="preserve"> Data Sharing &amp; Integration Assessment &amp; Requirements </t>
  </si>
  <si>
    <t xml:space="preserve">Has the Entity documented the requirements related to data sharing, integration and interoperability  perform an Initial and performed an initial assessment to identify data movement and the integration points across the Entity?
هل قامت الجهة بتوثيق المتطلبات المتعلقة بتبادل البيانات وتكاملها وإمكانية التشغيل البيني وأجرت تقييماً مبدئياً لتحديد حركة البيانات ونقاط التكامل عبر الجهة؟
</t>
  </si>
  <si>
    <t>DSII Requirements Document (Business &amp; Technical)
Inventory of existing systems existing data sources, systems, applications and data stores
Data Lineage Document
Integration Points Document
وثيقة متطلبات (الأعمال والتقنية)
قائمة أنظمة البيانات الحالية، المصادر، الأنظمة، التطبيقات، ومخازن البيانات
وثيقة تسلسل البيانات
وثيقة نقاط التكامل</t>
  </si>
  <si>
    <t>The Entity shall document the requirements related to data sharing, integration and interoperability; and perform an Initial assessment to identify pain points and inefficiencies in the data movement and the integration across the Entity. The Entity shall perform, at minimum, the following:
SS1. Document the business and technical requirements from the relevant stakeholders related to data sharing, data integration and systems interoperability
SS2. Create an inventory of all existing data sources, systems, applications and data stores.
SS3. Document a high-level Data Lineage including the rules according to which data is changed, and the frequency of changes
SS4.  Document data models used by the Entity's source systems
SS5. Document the list of identified data movement and integration gaps and pain points</t>
  </si>
  <si>
    <t>DSII.1.2.2</t>
  </si>
  <si>
    <t xml:space="preserve"> Data Sharing &amp; Integration Plan </t>
  </si>
  <si>
    <t>Has the Entity developed a data Sharing and integration plan to guide the implementation of data sharing and integration initiatives across the Entity?
هل قامت الجهة بوضع خطة لتبادل البيانات وتكاملها لتوجيه تنفيذ المبادرات المتعلقة بتبادل البيانات وتكاملها عبر الجهة؟</t>
  </si>
  <si>
    <t>Initiatives Cards
Data Sharing &amp; Integration Plan
بطاقات المبادرات
خطة تبادل وتكامل البيانات</t>
  </si>
  <si>
    <t>In Alignment with Entity’s data strategy and based on the documented requirements and the conducted open data assessment, the Entity shall develop a Data Integration Plan to identify and orchestrate the implementation of the data sharing and integration initiatives taking into account the efforts required to migrate all internal and external data exchange and peer-to-peer applications data sharing to internal middleware platform. The plan shall include, at a minimum:
SS1. List of activities and milestones. The plan should account for quick wins and longer-term strategic changes
SS2. Roadmap with the activities and key milestones for the implementation of Data sharing and integration initiatives
SS3. Owners and stakeholders
SS4. Interdependencies, assumptions, budget, and risks</t>
  </si>
  <si>
    <t>DSII.1.3</t>
  </si>
  <si>
    <t xml:space="preserve"> Open Data Planning</t>
  </si>
  <si>
    <t>DSII.1.3.1</t>
  </si>
  <si>
    <t xml:space="preserve"> Open Data Assessment &amp; Requirements </t>
  </si>
  <si>
    <t>Has the Entity document requirements for open data publication, accessibility, and usage and performed an initial assessment to map the open data lifecycle?
هل قامت الجهة بتوثيق المتطلبات المتعلقة بنشر البيانات المفتوحة والوصول إليها واستخدامها وأجرت تقييماً مبدئياً لرسم خريطة دورة حياة البيانات المفتوحة؟</t>
  </si>
  <si>
    <t>Open Data Requirements Document (Business &amp; Technical)
Open Dataset Inventory
Open Dataset Data Quality Assessment Document 
وثيقة متطلبات البيانات المفتوحة (الأعمال والتقنية)
قائمة مجموعات البيانات المفتوحة
وثيقة تقييم جودة البيانات للمجموعت المفتوحة</t>
  </si>
  <si>
    <t>C2: Limited Access
C2: Internal
C2: Limited Access</t>
  </si>
  <si>
    <t>The Entity shall document the requirements related to open data and perform an initial assessment to identify pain points and inefficiencies in the open data lifecycle across the Entity. The Entity shall perform, at minimum, the following:
SS1. Document the business and technical requirements from the relevant stakeholders related to the publication, accessibility, and use of open data
SS2. Create an inventory of all datasets eligible for open data publication, including details about their sources, formats, and current usage
SS3. Conduct a data quality assessment for the datasets intended for open data publication, documenting any issues and gaps that need to be addressed
SS4. In alignment with current National Open Data Policy, assess and document the legal, ethical, and privacy considerations for the datasets to ensure compliance with relevant laws and regulations before publication
SS5.Document the data models used by the Entity's systems for datasets that will be published as open data</t>
  </si>
  <si>
    <t>DSII.1.3.2</t>
  </si>
  <si>
    <t xml:space="preserve"> Open Data Plan </t>
  </si>
  <si>
    <t>Has the Entity developed an open data plan to guide the implementation of open data initiatives across the Entity?
هل قامت الجهة بوضع خطة للبيانات المفتوحة لتوجيه تنفيذ المبادرات المتعلقة بالبيانات المفتوحة عبر الجهة؟</t>
  </si>
  <si>
    <t xml:space="preserve">Initiatives Cards
Open Data Plan
بطاقات المبادرات
خطة البيانات المفتوحة
</t>
  </si>
  <si>
    <t>In Alignment with Entity’s data strategy and based on the documented requirements and the conducted open data assessment, the Entity shall develop an open data plan to identify and coordinate the publishing of its Open Datasets. The plan shall include, at minimum, the following:
SS1. List of activities and milestones. The plan should account for quick wins and longer-term strategic changes
SS2. Roadmap with the activities and key milestones for the implementation of Open Data initiatives.
SS3. Owners and stakeholders
SS4. Interdependencies, assumptions, budget, and risks</t>
  </si>
  <si>
    <t>DSII.2.1</t>
  </si>
  <si>
    <t xml:space="preserve"> Data Sharing, Integration &amp; Interoperability Implementation</t>
  </si>
  <si>
    <t>DSII.2.1.1</t>
  </si>
  <si>
    <t xml:space="preserve"> Data Sharing Principles, Process </t>
  </si>
  <si>
    <t xml:space="preserve">Has the Entity established data sharing principles and processes that will guide the data sharing process within the Entity and with other Entities?
هل قامت الجهة بتحديد مبادئ وعمليات لتبادل البيانات لتوجيه عملية تبادل البيانات داخل الجهة ومع الجهات الأخرى؟
</t>
  </si>
  <si>
    <t xml:space="preserve">Data Sharing Principles &amp; Process Document
وثيقة مبادئ وعمليات تبادل البيانات
</t>
  </si>
  <si>
    <t>The Entity shall, at a minimum:
SS1. Develop and adopt the data sharing principles that will control the data sharing process within the Entity and with other Entities. Data Sharing principles shall include the following:
• Data Sharing Culture: The Entity shall share the master data that it produces for the purpose of achieving data sharing and integration with other entities. The Entity shall adopt the “Single Source of Truth (SSOT)” principle to share / obtain the data from its proper sources and to avoid data duplication, inconsistency, and multiple sources.
• Legitimate Purpose: The Entity shall share the data for legitimate purposes based on a legal ground or a justified practical need that aims to deliver a public interest without inflicting any harm on national interests, entity activities, privacy of individuals or environmental safety.
• Authorized Access: The Entity shall have the appropriate authority to access, obtain and use the data shared by other entities
• Transparency: The Entity shall avail all the data that is necessary for a successful data sharing process.
• Accountability: The Entity shall hold the accountability for the shared data from other parties ensuring the security controls as defined and prescribed by National Law, policy, and regulations
• Ethical Data Use: The Entity shall apply ethical practices on the data shared by other entities to ensure fairness, integrity, trust, and respect in data use
SS2. Develop and adopt the data sharing process that will govern the data sharing practice within the Entity and with other entities to standardize data sharing practice and ensure that all necessary principles and requirements are met. Data Sharing process shall include the following:
• Data Sharing Request Reception: The Entity shall submit a data sharing request from its data offices to the data office of the other entity requested to share the data
• Roles assignment: The Entity’s data office shall forward the received data sharing request to the relevant business data steward to address and evaluate the request
• Data Classification level check: The Business data steward shall check the classification level of the requested data
• Data Sharing Principles Assessment: the business data steward shall assess the data request against the data sharing principles
• Data Sharing Decision and Feedback: The Entity shall proceed with the data sharing only if all data sharing principles are fully satisfied, otherwise the Entity shall not proceed with the data sharing until all data sharing principles are satisfied
• Business Data Executive Approval: The Business data steward shall obtain the business data executive approval to proceed with the data sharing process once all data sharing principles are satisfied
• Design and implementation of Data Sharing controls: The Entity’s business data steward shall set the required controls (such as, Legal basis, Authorization, Data Type, Data sharing means, data usage and protection, data sharing duration and frequency and termination) with the requestor Entity to ensure compliance with the data sharing principles
• Data Sharing agreement signing: The Entity’s business data steward shall provide clear details thereof in the data sharing agreement; all parties involved in the sharing process shall sign the data sharing agreement.
• Sharing Data with the requestor: The Entity’s data office Shall share the requested data with the requestor once the data sharing agreement is signed</t>
  </si>
  <si>
    <t>DSII.2.1.2</t>
  </si>
  <si>
    <t xml:space="preserve"> Data Sharing, Agreements &amp; Contracts </t>
  </si>
  <si>
    <t>Has the Entity developed internal and external data sharing agreements and contracts that shall be used when sharing data and data products between information systems within the Entity and other external Entities?
هل قامت الجهة بوضع اتفاقيات وعقود لتبادل البيانات الداخلية والخارجية التي يتم استخدامها عند تبادل البيانات ومنتجات البيانات بين أنظمة المعلومات داخل الجهة والجهات الخارجية الأخرى؟</t>
  </si>
  <si>
    <t xml:space="preserve">Data Sharing Agreements
Data Contracts
اتفاقيات تبادل البيانات
عقود البيانات
</t>
  </si>
  <si>
    <t>The Entity shall, at a minimum:
SS1. Develop and follow an internal and external data sharing agreement template that shall be used when data shared between information systems within the Entity and other external Entities. The data sharing agreement template shall include, at minimum, the following:
• Parties to the Agreement
• Authorized signatories
• Purpose of Data Sharing
• Duration of the Agreement
• Methods of Data Access
• Data Access Rights and Privileges
• Lawful basis for sharing
• Liability Provisions
SS2. Implement data contract template to be utilized during data products sharing within the Entity or with other external Entities. The data contract template shall include, at minimum, the following:
• Data Contract Title and description
• Data Contract Owner
• Data Contract link
• Data Contract terms (Usage, Limitations, Validity Period)
• Data Definitions
• Data Types
• Data Format
• Data Structure
• Data Constraints
• Data Classification</t>
  </si>
  <si>
    <t>DSII.2.1.3</t>
  </si>
  <si>
    <t xml:space="preserve"> </t>
  </si>
  <si>
    <t>Has the Entity developed a data exchange directory to register all its existing internal and external data sharing and exchange requests, and designed an integration layer architecture based on the integration requirements to facilitate connecting internal and external information systems and enable the exchange of data?
هل قامت الجهة بوضع دليل لتبادل البيانات لتسجيل جميع طلبات تبادل البيانات الداخلية والخارجية الحالية، وتصميم بنية طبقة تكامل بناءً على متطلبات التكامل لتسهيل ربط أنظمة المعلومات الداخلية والخارجية وتمكين تبادل البيانات؟</t>
  </si>
  <si>
    <t xml:space="preserve">Data Exchange Directory Register
Integration Architecture Document
دليل تبادل البيانات والتسجيل
وثيقة بنية التكامل الهيكلة
</t>
  </si>
  <si>
    <t>The Entity shall, at a minimum:
SS1. Develop and maintain a data exchange directory to register all its existing data sharing and exchange internally and externally, including information on which sources are being requested, by whom, how often and for what purpose.
SS2. Design and implement an integration layer architecture based on the Integration requirements to facilitate connecting internal and external information systems and enable the exchange of data. The integration layer architecture shall give consideration to the followings:
• Internal data migration into and out of internal systems.
• Includes at minimum the following data integration methods:
◦ File-based data Integration
◦ Message-based data Integration
◦ Database to database data Integration
• Data Orchestration: The flow of data from start to finish in the data integration architecture
• Source-To-Target Mapping: Set of data transformation rules that determine how to convert the structure and content of data in the source system to the structure and content needed in the target system.
SS3. Include the integration layer in the Entity’s target enterprise data architecture.</t>
  </si>
  <si>
    <t>DSII.2.2</t>
  </si>
  <si>
    <t xml:space="preserve"> Open Data Implementation</t>
  </si>
  <si>
    <t>DSII.2.2.1</t>
  </si>
  <si>
    <t xml:space="preserve"> Open Data Processes </t>
  </si>
  <si>
    <t>Has the Entity developed and documented processes required across the lifecycle of open data? (i.e.: identification of open data, publication of open data, maintenance of open data)
هل قامت الجهة بتطوير وتوثيق العمليات المطلوبة عبر دورة حياة البيانات المفتوحة؟ (أي: تحديد البيانات المفتوحة، نشر البيانات المفتوحة، صيانة البيانات المفتوحة)</t>
  </si>
  <si>
    <t xml:space="preserve">Open Data Processes Document
وثيقة عمليات البيانات المفتوحة
</t>
  </si>
  <si>
    <t>The Entity shall develop, and document processes required across the lifecycle of Open Data, including, at minimum, the following:
SS1. Processes to identify public datasets to be published the Entity, the process shall include at minimum the followings:
• Identify and document all data classified as 'public' and prioritize each dataset identified as Open Data
• Perform a valuation of the identified dataset to drive decision making on whether it should be published as open data or not
• Assess whether some combination of any publicly available data and the data intended to be published could allow for the unauthorized disclosure of personal information or create any other security or privacy risk or threat
SS2. Processes to publish and maintain the Open Datasets on Qatar’s open data platform with the appropriate format, timeliness, and overall high quality and ensure the exclusion of any restricted data.
SS3. Processes for gathering feedback, analyzing performance at the Entity level, and improving the overall Open Data national impact
SS4. Processes to perform continuous review of the published Open Datasets to ensure they meet defined regulatory requirements
SS5. Processes to regularly update and document changes to the published Open Datasets and associated metadata whenever changes occur</t>
  </si>
  <si>
    <t>DSII.2.2.2</t>
  </si>
  <si>
    <t xml:space="preserve"> Open Data Format &amp; Metadata </t>
  </si>
  <si>
    <t xml:space="preserve">Has the Entity identified and documented metadata for each open dataset identified and ensured that they are made available in an open format that is platform-independent and machine-processable (e.g., CSV)?
هل قامت الجهة بتحديد وتوثيق البيانات الوصفية لكل مجموعة بيانات مفتوحة تم تحديدها وضمان توافرها بتنسيق مفتوح ومستقل عن المنصة وقابل للمعالجة آلياً؟
</t>
  </si>
  <si>
    <t xml:space="preserve">Open Data Metadata
بيانات وصفية للبيانات المفتوحة
</t>
  </si>
  <si>
    <t>The Entity shall
SS1. Identify and document the metadata necessary within the Open Dataset to easily identify, describe and search for it once published
SS2. Standardized formats when publishing its datasets that are, at minimum, in machine-readable form. Common formats that meet this standard include, but may not be limited to, the following:
• CSV - Comma Separated Values
• JSON - JavaScript Object Notation
• XML - Extensible Markup Language
• RDF - Resource Description Framework
SS3. Accompany datasets with documentation containing instructions on how to use them in relation to its published format</t>
  </si>
  <si>
    <t>DSII.3.1</t>
  </si>
  <si>
    <t xml:space="preserve"> Data Sharing, Integration &amp; Interoperability Performance Management</t>
  </si>
  <si>
    <t>DSII.3.1.1</t>
  </si>
  <si>
    <t xml:space="preserve"> Data Sharing, Integration &amp; Interoperability KPIs </t>
  </si>
  <si>
    <t>Has the Entity established Key Performance Indicators (KPIs) to measure and report on the progress and effectiveness of data integration solutions and data sharing activities?
هل قامت الجهة بوضع مؤشرات أداء رئيسية لقياس وتقارير تقدم وفعالية حلول تكامل البيانات وأنشطة تبادل البيانات؟</t>
  </si>
  <si>
    <t>List of defined and documented  Data Sharing, Integration &amp; Interoperability KPIs
قائمة مؤشرات الأداء الرئيسية المعرّفة والموثقة لتبادل البيانات وتكاملها وإمكانية التشغيل البيني</t>
  </si>
  <si>
    <t>The Entity shall establish Key Performance Indicators (KPIs) to measure the progress and effectiveness of data integration solutions and data sharing activities and guide continuous improvement initiatives. KPIs shall include, at minimum:
SS1. Data transfer rate between systems/ applications
SS2. The latency between data sources and data targets
SS3. The number of Data Sharing requests received
SS4. The number of Data Sharing requests accepted/ denied
SS5. The number of Data Sharing requests sent
SS6. The number of ongoing Data Sharing agreements
SS7. The average duration of the Data Sharing requests evaluation process (to be expressed in days)</t>
  </si>
  <si>
    <t>DSII.3.1.2</t>
  </si>
  <si>
    <t xml:space="preserve"> Data Sharing, Integration &amp; Interoperability Monitoring &amp; Reporting </t>
  </si>
  <si>
    <t>Has the Entity established monitoring and reporting mechanisms for Data Sharing, Integration and Interoperability?
هل قامت الجهة بوضع آليات للرصد والإبلاغ عن تبادل البيانات وتكاملها وإمكانية التشغيل البيني؟</t>
  </si>
  <si>
    <t>Dashboards and reports tracking the defined KPIs
لوحات المعلومات والتقارير التي تتبع مؤشرات الأداء الرئيسية المحددة</t>
  </si>
  <si>
    <t>The Entity shall monitor and report on the Entity's Data Sharing, Integration &amp; Interoperability efforts based on the defined KPIs. This shall include, at a minimum:
SS1. Tracking the defined KPIs in DSII.3.1.1 through dashboards and reports</t>
  </si>
  <si>
    <t>DSII.3.1.3</t>
  </si>
  <si>
    <t>Has the Entity enhanced its Data Sharing, Integration &amp; Interoperability monitoring and reporting capabilities?
هل قامت الجهة بتحسين قدراتها في رصد وإبلاغ تبادل البيانات وتكاملها وإمكانية التشغيل البيني؟</t>
  </si>
  <si>
    <t>Implementation proof of alert system supporting troubleshooting of
issues in the pipelines, to ensure that the pipeline runs smoothly
إثبات تنفيذ نظام التنبيه الذي يدعم استكشاف المشكلات في خطوط الأنابيب لضمان سلاسة تشغيلها</t>
  </si>
  <si>
    <t>The Entity shall enhance its Data Sharing, Integration &amp; Interoperability monitoring and reporting capabilities as follows:
SS1. Configure an alert system supporting troubleshooting of issues in the pipelines, to ensure that the pipeline runs smoothly</t>
  </si>
  <si>
    <t>DSII.3.1.4</t>
  </si>
  <si>
    <t xml:space="preserve"> Open Data Audit </t>
  </si>
  <si>
    <t xml:space="preserve">Has the Entity maintain a copy of the approved Open Data Assessment checklist (as per Open Data Policy of 2014) for any future reference or audits?
هل قامت الجهة بالحفاظ على نسخة من قائمة التحقق من تقييم البيانات المفتوحة المعتمدة (وفقًا لسياسة البيانات المفتوحة لعام 2014) لأي مرجعية مستقبلية أو تدقيقات؟
</t>
  </si>
  <si>
    <t xml:space="preserve">Open Data Assessment Checklist
قائمة التحقق من تقييم البيانات المفتوحة
</t>
  </si>
  <si>
    <t>SS1. In alignment with the Open Data Policy (2014), The Entity shall maintain copy of the approved Open Data Assessment checklist for any future reference or audits. The Open Data Assessment shall be completed by Entities to ensure that there are no legal, policy, or contractual restrictions to making the Data publicly available as Open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</si>
</sst>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Aptos Narrow"/>
      <family val="2"/>
      <scheme val="minor"/>
    </font>
    <font>
      <b/>
      <sz val="11"/>
      <color theme="1"/>
      <name val="Aptos Narrow"/>
      <family val="2"/>
      <scheme val="minor"/>
    </font>
    <font>
      <sz val="11"/>
      <name val="Aptos Narrow"/>
      <family val="2"/>
      <scheme val="minor"/>
    </font>
    <font>
      <u/>
      <sz val="11"/>
      <color theme="10"/>
      <name val="Aptos Narrow"/>
      <family val="2"/>
      <scheme val="minor"/>
    </font>
    <font>
      <b/>
      <u/>
      <sz val="11"/>
      <color theme="0"/>
      <name val="Arial"/>
      <family val="2"/>
    </font>
    <font>
      <sz val="11"/>
      <color theme="1"/>
      <name val="Arial"/>
      <family val="2"/>
    </font>
    <font>
      <b/>
      <sz val="11"/>
      <color theme="0"/>
      <name val="Arial"/>
      <family val="2"/>
    </font>
    <font>
      <sz val="11"/>
      <color theme="0"/>
      <name val="Arial"/>
      <family val="2"/>
    </font>
    <font>
      <b/>
      <sz val="12"/>
      <color theme="1"/>
      <name val="Arial"/>
      <family val="2"/>
    </font>
    <font>
      <b/>
      <sz val="12"/>
      <color theme="4"/>
      <name val="Arial"/>
      <family val="2"/>
    </font>
    <font>
      <b/>
      <sz val="11"/>
      <color rgb="FF89143C"/>
      <name val="Arial"/>
      <family val="2"/>
    </font>
    <font>
      <b/>
      <sz val="22"/>
      <color theme="0"/>
      <name val="Arial"/>
      <family val="2"/>
    </font>
    <font>
      <b/>
      <sz val="11"/>
      <color theme="1"/>
      <name val="Arial"/>
      <family val="2"/>
    </font>
    <font>
      <i/>
      <sz val="18"/>
      <color theme="0"/>
      <name val="Arial"/>
      <family val="2"/>
    </font>
    <font>
      <sz val="11"/>
      <name val="Arial"/>
      <family val="2"/>
    </font>
    <font>
      <b/>
      <sz val="22"/>
      <color rgb="FF7030A0"/>
      <name val="Arial"/>
      <family val="2"/>
    </font>
    <font>
      <sz val="11"/>
      <color rgb="FF000000"/>
      <name val="Arial"/>
      <family val="2"/>
    </font>
    <font>
      <b/>
      <sz val="8"/>
      <color theme="1"/>
      <name val="Arial"/>
      <family val="2"/>
    </font>
    <font>
      <sz val="8"/>
      <color rgb="FF000000"/>
      <name val="Arial"/>
      <family val="2"/>
    </font>
    <font>
      <sz val="12"/>
      <color theme="1"/>
      <name val="Arial"/>
      <family val="2"/>
    </font>
    <font>
      <b/>
      <sz val="14"/>
      <color theme="1"/>
      <name val="Arial"/>
      <family val="2"/>
    </font>
    <font>
      <sz val="14"/>
      <color theme="1"/>
      <name val="Arial"/>
      <family val="2"/>
    </font>
    <font>
      <sz val="11"/>
      <color theme="1"/>
      <name val="Aptos Narrow"/>
      <family val="2"/>
      <scheme val="minor"/>
    </font>
    <font>
      <b/>
      <sz val="11"/>
      <color rgb="FFFF0000"/>
      <name val="Aptos Narrow"/>
      <scheme val="minor"/>
    </font>
    <font>
      <b/>
      <sz val="11"/>
      <color theme="0"/>
      <name val="Aptos Narrow"/>
      <family val="2"/>
      <scheme val="minor"/>
    </font>
    <font>
      <sz val="11"/>
      <color rgb="FF000000"/>
      <name val="Aptos Narrow"/>
      <scheme val="minor"/>
    </font>
    <font>
      <b/>
      <sz val="11"/>
      <color rgb="FF000000"/>
      <name val="Aptos Narrow"/>
      <scheme val="minor"/>
    </font>
    <font>
      <sz val="11"/>
      <color rgb="FF000000"/>
      <name val="Aptos Narrow"/>
      <family val="2"/>
    </font>
    <font>
      <sz val="11"/>
      <color theme="0"/>
      <name val="Aptos Narrow"/>
      <family val="2"/>
      <scheme val="minor"/>
    </font>
  </fonts>
  <fills count="14">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theme="0"/>
        <bgColor theme="0"/>
      </patternFill>
    </fill>
    <fill>
      <patternFill patternType="solid">
        <fgColor rgb="FF89143C"/>
        <bgColor indexed="64"/>
      </patternFill>
    </fill>
    <fill>
      <patternFill patternType="solid">
        <fgColor rgb="FF89143C"/>
        <bgColor rgb="FF7030A0"/>
      </patternFill>
    </fill>
    <fill>
      <patternFill patternType="solid">
        <fgColor rgb="FFD9D9D9"/>
        <bgColor rgb="FFD9D9D9"/>
      </patternFill>
    </fill>
    <fill>
      <patternFill patternType="solid">
        <fgColor theme="0"/>
        <bgColor rgb="FFD9D9D9"/>
      </patternFill>
    </fill>
    <fill>
      <patternFill patternType="solid">
        <fgColor rgb="FF450A1F"/>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rgb="FFFF0000"/>
        <bgColor indexed="64"/>
      </patternFill>
    </fill>
    <fill>
      <patternFill patternType="solid">
        <fgColor theme="1"/>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rgb="FF000000"/>
      </top>
      <bottom/>
      <diagonal/>
    </border>
    <border>
      <left/>
      <right/>
      <top/>
      <bottom style="thin">
        <color indexed="64"/>
      </bottom>
      <diagonal/>
    </border>
    <border>
      <left/>
      <right style="thin">
        <color rgb="FF000000"/>
      </right>
      <top/>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indexed="64"/>
      </left>
      <right style="thin">
        <color indexed="64"/>
      </right>
      <top/>
      <bottom style="thin">
        <color indexed="64"/>
      </bottom>
      <diagonal/>
    </border>
    <border>
      <left style="thin">
        <color theme="0"/>
      </left>
      <right style="thin">
        <color theme="0"/>
      </right>
      <top style="thin">
        <color rgb="FFBFBFBF"/>
      </top>
      <bottom style="dotted">
        <color rgb="FF7F7F7F"/>
      </bottom>
      <diagonal/>
    </border>
    <border>
      <left style="thin">
        <color rgb="FFBFBFBF"/>
      </left>
      <right style="dotted">
        <color rgb="FF808080"/>
      </right>
      <top style="dotted">
        <color rgb="FF808080"/>
      </top>
      <bottom style="dotted">
        <color rgb="FF808080"/>
      </bottom>
      <diagonal/>
    </border>
    <border>
      <left style="dotted">
        <color rgb="FF808080"/>
      </left>
      <right style="dotted">
        <color rgb="FF808080"/>
      </right>
      <top style="dotted">
        <color rgb="FF808080"/>
      </top>
      <bottom style="dotted">
        <color rgb="FF808080"/>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3">
    <xf numFmtId="0" fontId="0" fillId="0" borderId="0"/>
    <xf numFmtId="0" fontId="3" fillId="0" borderId="0" applyNumberFormat="0" applyFill="0" applyBorder="0" applyAlignment="0" applyProtection="0"/>
    <xf numFmtId="9" fontId="22" fillId="0" borderId="0" applyFont="0" applyFill="0" applyBorder="0" applyAlignment="0" applyProtection="0"/>
  </cellStyleXfs>
  <cellXfs count="109">
    <xf numFmtId="0" fontId="0" fillId="0" borderId="0" xfId="0"/>
    <xf numFmtId="0" fontId="0" fillId="3" borderId="1" xfId="0" applyFill="1" applyBorder="1" applyAlignment="1">
      <alignment vertical="center" wrapText="1"/>
    </xf>
    <xf numFmtId="0" fontId="0" fillId="3" borderId="0" xfId="0" applyFill="1" applyAlignment="1">
      <alignment vertical="center"/>
    </xf>
    <xf numFmtId="0" fontId="0" fillId="3" borderId="1" xfId="0" applyFill="1" applyBorder="1" applyAlignment="1">
      <alignment vertical="center"/>
    </xf>
    <xf numFmtId="0" fontId="0" fillId="3" borderId="1" xfId="0" applyFill="1" applyBorder="1" applyAlignment="1">
      <alignment horizontal="center" vertical="center"/>
    </xf>
    <xf numFmtId="0" fontId="0" fillId="3" borderId="3" xfId="0" applyFill="1" applyBorder="1" applyAlignment="1">
      <alignment vertical="center" wrapText="1"/>
    </xf>
    <xf numFmtId="0" fontId="2" fillId="3" borderId="1" xfId="0" applyFont="1" applyFill="1" applyBorder="1" applyAlignment="1">
      <alignment vertical="center" wrapText="1"/>
    </xf>
    <xf numFmtId="0" fontId="0" fillId="3" borderId="4" xfId="0" applyFill="1" applyBorder="1" applyAlignment="1">
      <alignment horizontal="left" vertical="center" wrapText="1"/>
    </xf>
    <xf numFmtId="0" fontId="0" fillId="3" borderId="0" xfId="0" applyFill="1" applyAlignment="1">
      <alignment horizontal="center" vertical="center"/>
    </xf>
    <xf numFmtId="0" fontId="0" fillId="3" borderId="0" xfId="0" applyFill="1" applyAlignment="1">
      <alignment vertical="center" wrapText="1"/>
    </xf>
    <xf numFmtId="0" fontId="0" fillId="3" borderId="5" xfId="0" applyFill="1" applyBorder="1" applyAlignment="1">
      <alignment vertical="center" wrapText="1"/>
    </xf>
    <xf numFmtId="0" fontId="0" fillId="3" borderId="4" xfId="0" applyFill="1" applyBorder="1" applyAlignment="1">
      <alignment vertical="center" wrapText="1"/>
    </xf>
    <xf numFmtId="0" fontId="0" fillId="0" borderId="1" xfId="0" applyBorder="1" applyAlignment="1">
      <alignment vertical="center" wrapText="1"/>
    </xf>
    <xf numFmtId="0" fontId="5" fillId="5" borderId="0" xfId="0" applyFont="1" applyFill="1"/>
    <xf numFmtId="0" fontId="4" fillId="6" borderId="0" xfId="0" applyFont="1" applyFill="1"/>
    <xf numFmtId="0" fontId="5" fillId="6" borderId="0" xfId="0" applyFont="1" applyFill="1"/>
    <xf numFmtId="0" fontId="6" fillId="6" borderId="0" xfId="0" applyFont="1" applyFill="1"/>
    <xf numFmtId="0" fontId="7" fillId="5" borderId="0" xfId="0" applyFont="1" applyFill="1"/>
    <xf numFmtId="0" fontId="8" fillId="5" borderId="0" xfId="0" applyFont="1" applyFill="1" applyAlignment="1">
      <alignment vertical="center"/>
    </xf>
    <xf numFmtId="0" fontId="8" fillId="5" borderId="0" xfId="0" applyFont="1" applyFill="1"/>
    <xf numFmtId="0" fontId="9" fillId="5" borderId="0" xfId="0" applyFont="1" applyFill="1"/>
    <xf numFmtId="0" fontId="5" fillId="4" borderId="0" xfId="0" applyFont="1" applyFill="1"/>
    <xf numFmtId="0" fontId="5" fillId="4" borderId="0" xfId="0" applyFont="1" applyFill="1" applyAlignment="1">
      <alignment horizontal="left"/>
    </xf>
    <xf numFmtId="0" fontId="15" fillId="3" borderId="0" xfId="0" applyFont="1" applyFill="1" applyAlignment="1">
      <alignment vertical="center"/>
    </xf>
    <xf numFmtId="0" fontId="15" fillId="0" borderId="0" xfId="0" applyFont="1" applyAlignment="1">
      <alignment vertical="center"/>
    </xf>
    <xf numFmtId="0" fontId="5" fillId="3" borderId="0" xfId="0" applyFont="1" applyFill="1"/>
    <xf numFmtId="0" fontId="5" fillId="4" borderId="0" xfId="0" applyFont="1" applyFill="1" applyAlignment="1">
      <alignment wrapText="1"/>
    </xf>
    <xf numFmtId="0" fontId="12" fillId="7" borderId="14" xfId="0" applyFont="1" applyFill="1" applyBorder="1" applyAlignment="1">
      <alignment horizontal="left" vertical="top" wrapText="1"/>
    </xf>
    <xf numFmtId="15" fontId="16" fillId="0" borderId="15" xfId="0" applyNumberFormat="1" applyFont="1" applyBorder="1" applyAlignment="1">
      <alignment horizontal="center" vertical="top" wrapText="1"/>
    </xf>
    <xf numFmtId="0" fontId="16" fillId="0" borderId="15" xfId="0" applyFont="1" applyBorder="1" applyAlignment="1">
      <alignment horizontal="left" vertical="top" wrapText="1"/>
    </xf>
    <xf numFmtId="0" fontId="12" fillId="8" borderId="0" xfId="0" applyFont="1" applyFill="1" applyAlignment="1">
      <alignment horizontal="left" vertical="top" wrapText="1"/>
    </xf>
    <xf numFmtId="15" fontId="16" fillId="3" borderId="0" xfId="0" applyNumberFormat="1" applyFont="1" applyFill="1" applyAlignment="1">
      <alignment horizontal="center" vertical="top" wrapText="1"/>
    </xf>
    <xf numFmtId="0" fontId="16" fillId="3" borderId="0" xfId="0" applyFont="1" applyFill="1" applyAlignment="1">
      <alignment horizontal="left" vertical="top" wrapText="1"/>
    </xf>
    <xf numFmtId="15" fontId="16" fillId="3" borderId="0" xfId="0" applyNumberFormat="1" applyFont="1" applyFill="1" applyAlignment="1">
      <alignment horizontal="left" vertical="top" wrapText="1"/>
    </xf>
    <xf numFmtId="0" fontId="17" fillId="8" borderId="0" xfId="0" applyFont="1" applyFill="1" applyAlignment="1">
      <alignment horizontal="left" vertical="top" wrapText="1"/>
    </xf>
    <xf numFmtId="15" fontId="18" fillId="3" borderId="0" xfId="0" applyNumberFormat="1" applyFont="1" applyFill="1" applyAlignment="1">
      <alignment horizontal="center" vertical="top" wrapText="1"/>
    </xf>
    <xf numFmtId="15" fontId="18" fillId="3" borderId="0" xfId="0" applyNumberFormat="1" applyFont="1" applyFill="1" applyAlignment="1">
      <alignment horizontal="left" vertical="top" wrapText="1"/>
    </xf>
    <xf numFmtId="0" fontId="13" fillId="6" borderId="0" xfId="0" applyFont="1" applyFill="1" applyAlignment="1">
      <alignment horizontal="center" vertical="center"/>
    </xf>
    <xf numFmtId="0" fontId="13" fillId="6" borderId="8" xfId="0" applyFont="1" applyFill="1" applyBorder="1" applyAlignment="1">
      <alignment horizontal="center" vertical="center"/>
    </xf>
    <xf numFmtId="0" fontId="7" fillId="9" borderId="12" xfId="1" applyFont="1" applyFill="1" applyBorder="1" applyAlignment="1">
      <alignment horizontal="center" vertical="center"/>
    </xf>
    <xf numFmtId="0" fontId="6" fillId="6" borderId="13" xfId="0" applyFont="1" applyFill="1" applyBorder="1" applyAlignment="1">
      <alignment horizontal="left" vertical="top" wrapText="1"/>
    </xf>
    <xf numFmtId="0" fontId="5" fillId="0" borderId="0" xfId="0" applyFont="1"/>
    <xf numFmtId="0" fontId="12" fillId="0" borderId="0" xfId="0" applyFont="1"/>
    <xf numFmtId="0" fontId="5" fillId="0" borderId="0" xfId="0" applyFont="1" applyAlignment="1">
      <alignment vertical="center" wrapText="1"/>
    </xf>
    <xf numFmtId="0" fontId="5" fillId="6" borderId="0" xfId="0" applyFont="1" applyFill="1" applyAlignment="1">
      <alignment vertical="center" wrapText="1"/>
    </xf>
    <xf numFmtId="0" fontId="5" fillId="0" borderId="0" xfId="0" applyFont="1" applyAlignment="1">
      <alignment vertical="center"/>
    </xf>
    <xf numFmtId="0" fontId="5" fillId="6" borderId="0" xfId="0" applyFont="1" applyFill="1" applyAlignment="1">
      <alignment vertical="center"/>
    </xf>
    <xf numFmtId="0" fontId="3" fillId="0" borderId="0" xfId="1" quotePrefix="1" applyFill="1" applyAlignment="1">
      <alignment vertical="center" wrapText="1"/>
    </xf>
    <xf numFmtId="0" fontId="3" fillId="0" borderId="0" xfId="1" quotePrefix="1" applyFill="1" applyAlignment="1">
      <alignment vertical="center"/>
    </xf>
    <xf numFmtId="0" fontId="19" fillId="0" borderId="0" xfId="0" applyFont="1"/>
    <xf numFmtId="0" fontId="20" fillId="0" borderId="0" xfId="0" applyFont="1"/>
    <xf numFmtId="0" fontId="21" fillId="0" borderId="0" xfId="0" applyFont="1"/>
    <xf numFmtId="0" fontId="0" fillId="2" borderId="1" xfId="0" applyFill="1" applyBorder="1" applyAlignment="1">
      <alignment vertical="center" wrapText="1"/>
    </xf>
    <xf numFmtId="0" fontId="0" fillId="10" borderId="1" xfId="0" applyFill="1" applyBorder="1" applyAlignment="1">
      <alignment vertical="center" wrapText="1"/>
    </xf>
    <xf numFmtId="9" fontId="23" fillId="3" borderId="0" xfId="2" applyFont="1" applyFill="1" applyAlignment="1">
      <alignment vertical="center"/>
    </xf>
    <xf numFmtId="0" fontId="0" fillId="10" borderId="3" xfId="0" applyFill="1" applyBorder="1" applyAlignment="1">
      <alignment vertical="center" wrapText="1"/>
    </xf>
    <xf numFmtId="0" fontId="0" fillId="11" borderId="3" xfId="0" applyFill="1" applyBorder="1" applyAlignment="1">
      <alignment vertical="center" wrapText="1"/>
    </xf>
    <xf numFmtId="0" fontId="0" fillId="11" borderId="1" xfId="0" applyFill="1" applyBorder="1" applyAlignment="1">
      <alignment vertical="center" wrapText="1"/>
    </xf>
    <xf numFmtId="0" fontId="0" fillId="10" borderId="3" xfId="0" quotePrefix="1" applyFill="1" applyBorder="1" applyAlignment="1">
      <alignment vertical="center" wrapText="1"/>
    </xf>
    <xf numFmtId="0" fontId="0" fillId="12" borderId="0" xfId="0" applyFill="1" applyAlignment="1">
      <alignment vertical="center" wrapText="1"/>
    </xf>
    <xf numFmtId="0" fontId="0" fillId="10" borderId="4" xfId="0" applyFill="1" applyBorder="1" applyAlignment="1">
      <alignment vertical="center" wrapText="1"/>
    </xf>
    <xf numFmtId="0" fontId="0" fillId="10" borderId="5" xfId="0" applyFill="1" applyBorder="1" applyAlignment="1">
      <alignment vertical="center" wrapText="1"/>
    </xf>
    <xf numFmtId="0" fontId="0" fillId="10" borderId="0" xfId="0" applyFill="1" applyAlignment="1">
      <alignment vertical="center" wrapText="1"/>
    </xf>
    <xf numFmtId="0" fontId="0" fillId="12" borderId="1" xfId="0" applyFill="1" applyBorder="1" applyAlignment="1">
      <alignment vertical="center" wrapText="1"/>
    </xf>
    <xf numFmtId="0" fontId="0" fillId="12" borderId="3" xfId="0" applyFill="1" applyBorder="1" applyAlignment="1">
      <alignment vertical="center" wrapText="1"/>
    </xf>
    <xf numFmtId="0" fontId="0" fillId="11" borderId="0" xfId="0" applyFill="1" applyAlignment="1">
      <alignment vertical="center" wrapText="1"/>
    </xf>
    <xf numFmtId="0" fontId="0" fillId="11" borderId="1" xfId="0" applyFill="1" applyBorder="1"/>
    <xf numFmtId="0" fontId="0" fillId="0" borderId="1" xfId="0" applyBorder="1"/>
    <xf numFmtId="0" fontId="0" fillId="10" borderId="1" xfId="0" applyFill="1" applyBorder="1"/>
    <xf numFmtId="0" fontId="0" fillId="11" borderId="16" xfId="0" applyFill="1" applyBorder="1"/>
    <xf numFmtId="0" fontId="0" fillId="0" borderId="17" xfId="0" applyBorder="1"/>
    <xf numFmtId="0" fontId="0" fillId="10" borderId="16" xfId="0" applyFill="1" applyBorder="1"/>
    <xf numFmtId="0" fontId="0" fillId="0" borderId="18" xfId="0" applyBorder="1"/>
    <xf numFmtId="0" fontId="0" fillId="0" borderId="19" xfId="0" applyBorder="1"/>
    <xf numFmtId="0" fontId="1" fillId="0" borderId="1" xfId="0" applyFont="1" applyBorder="1"/>
    <xf numFmtId="0" fontId="24" fillId="13" borderId="1" xfId="0" applyFont="1" applyFill="1" applyBorder="1"/>
    <xf numFmtId="0" fontId="0" fillId="0" borderId="0" xfId="0" applyAlignment="1">
      <alignment wrapText="1"/>
    </xf>
    <xf numFmtId="0" fontId="24" fillId="13" borderId="0" xfId="0" applyFont="1" applyFill="1"/>
    <xf numFmtId="0" fontId="25" fillId="0" borderId="1" xfId="0" applyFont="1" applyBorder="1" applyAlignment="1">
      <alignment vertical="center" wrapText="1"/>
    </xf>
    <xf numFmtId="0" fontId="25" fillId="3" borderId="3" xfId="0" applyFont="1" applyFill="1" applyBorder="1" applyAlignment="1">
      <alignment vertical="center" wrapText="1"/>
    </xf>
    <xf numFmtId="0" fontId="0" fillId="3" borderId="23" xfId="0" applyFill="1" applyBorder="1" applyAlignment="1">
      <alignment vertical="center"/>
    </xf>
    <xf numFmtId="0" fontId="25" fillId="0" borderId="3" xfId="0" applyFont="1" applyBorder="1" applyAlignment="1">
      <alignment vertical="center" wrapText="1"/>
    </xf>
    <xf numFmtId="0" fontId="0" fillId="0" borderId="3" xfId="0" applyBorder="1" applyAlignment="1">
      <alignment vertical="center" wrapText="1"/>
    </xf>
    <xf numFmtId="0" fontId="0" fillId="3" borderId="23" xfId="0" applyFill="1" applyBorder="1" applyAlignment="1">
      <alignment vertical="center" wrapText="1"/>
    </xf>
    <xf numFmtId="0" fontId="0" fillId="3" borderId="25" xfId="0" applyFill="1" applyBorder="1" applyAlignment="1">
      <alignment vertical="center"/>
    </xf>
    <xf numFmtId="0" fontId="27" fillId="0" borderId="23" xfId="0" applyFont="1" applyBorder="1" applyAlignment="1">
      <alignment wrapText="1"/>
    </xf>
    <xf numFmtId="0" fontId="0" fillId="0" borderId="23" xfId="0" quotePrefix="1" applyBorder="1" applyAlignment="1">
      <alignment vertical="center" wrapText="1"/>
    </xf>
    <xf numFmtId="0" fontId="0" fillId="3" borderId="26" xfId="0" applyFill="1" applyBorder="1" applyAlignment="1">
      <alignment vertical="center"/>
    </xf>
    <xf numFmtId="0" fontId="24" fillId="5" borderId="1" xfId="0" applyFont="1" applyFill="1" applyBorder="1" applyAlignment="1">
      <alignment horizontal="center" vertical="center" wrapText="1"/>
    </xf>
    <xf numFmtId="0" fontId="24" fillId="5" borderId="2" xfId="0" applyFont="1" applyFill="1" applyBorder="1" applyAlignment="1">
      <alignment horizontal="center" vertical="center" wrapText="1"/>
    </xf>
    <xf numFmtId="0" fontId="24" fillId="5" borderId="24" xfId="0" applyFont="1" applyFill="1" applyBorder="1" applyAlignment="1">
      <alignment horizontal="center" vertical="center" wrapText="1"/>
    </xf>
    <xf numFmtId="0" fontId="24" fillId="5" borderId="25" xfId="0" applyFont="1" applyFill="1" applyBorder="1" applyAlignment="1">
      <alignment horizontal="center" vertical="center" wrapText="1"/>
    </xf>
    <xf numFmtId="0" fontId="24" fillId="5" borderId="23" xfId="0" applyFont="1" applyFill="1" applyBorder="1" applyAlignment="1">
      <alignment horizontal="center" vertical="center" wrapText="1"/>
    </xf>
    <xf numFmtId="0" fontId="28" fillId="5" borderId="0" xfId="0" applyFont="1" applyFill="1" applyAlignment="1">
      <alignment vertical="center"/>
    </xf>
    <xf numFmtId="0" fontId="10" fillId="4" borderId="0" xfId="1" applyFont="1" applyFill="1" applyAlignment="1">
      <alignment horizontal="center" vertical="center"/>
    </xf>
    <xf numFmtId="0" fontId="11" fillId="5" borderId="0" xfId="0" applyFont="1" applyFill="1" applyAlignment="1">
      <alignment horizontal="center" vertical="center"/>
    </xf>
    <xf numFmtId="0" fontId="12" fillId="6" borderId="0" xfId="0" applyFont="1" applyFill="1" applyAlignment="1">
      <alignment horizontal="center" vertical="center"/>
    </xf>
    <xf numFmtId="0" fontId="13" fillId="6" borderId="0" xfId="0" applyFont="1" applyFill="1" applyAlignment="1">
      <alignment horizontal="center" vertical="center"/>
    </xf>
    <xf numFmtId="0" fontId="5" fillId="4" borderId="6" xfId="0" applyFont="1" applyFill="1" applyBorder="1" applyAlignment="1">
      <alignment horizontal="left" vertical="center" wrapText="1"/>
    </xf>
    <xf numFmtId="0" fontId="5" fillId="4" borderId="0" xfId="0" applyFont="1" applyFill="1" applyAlignment="1">
      <alignment horizontal="left" vertical="center" wrapText="1"/>
    </xf>
    <xf numFmtId="0" fontId="5" fillId="4" borderId="7" xfId="0" applyFont="1" applyFill="1" applyBorder="1" applyAlignment="1">
      <alignment horizontal="left" vertical="center" wrapText="1"/>
    </xf>
    <xf numFmtId="0" fontId="5" fillId="4" borderId="9" xfId="0" applyFont="1" applyFill="1" applyBorder="1" applyAlignment="1">
      <alignment horizontal="left" vertical="center" wrapText="1"/>
    </xf>
    <xf numFmtId="0" fontId="14" fillId="0" borderId="10" xfId="0" applyFont="1" applyBorder="1" applyAlignment="1">
      <alignment horizontal="left"/>
    </xf>
    <xf numFmtId="0" fontId="14" fillId="0" borderId="11" xfId="0" applyFont="1" applyBorder="1" applyAlignment="1">
      <alignment horizontal="left"/>
    </xf>
    <xf numFmtId="0" fontId="24" fillId="13" borderId="20" xfId="0" applyFont="1" applyFill="1" applyBorder="1" applyAlignment="1">
      <alignment horizontal="center" vertical="center"/>
    </xf>
    <xf numFmtId="0" fontId="24" fillId="13" borderId="21" xfId="0" applyFont="1" applyFill="1" applyBorder="1" applyAlignment="1">
      <alignment horizontal="center" vertical="center"/>
    </xf>
    <xf numFmtId="0" fontId="0" fillId="0" borderId="22" xfId="0" applyBorder="1" applyAlignment="1">
      <alignment horizontal="left" vertical="center" wrapText="1"/>
    </xf>
    <xf numFmtId="0" fontId="0" fillId="0" borderId="22" xfId="0" applyBorder="1" applyAlignment="1">
      <alignment horizontal="center" vertical="center" wrapText="1"/>
    </xf>
    <xf numFmtId="0" fontId="7" fillId="5" borderId="0" xfId="0" applyFont="1" applyFill="1" applyAlignment="1"/>
  </cellXfs>
  <cellStyles count="3">
    <cellStyle name="Hyperlink" xfId="1" builtinId="8"/>
    <cellStyle name="Normal" xfId="0" builtinId="0"/>
    <cellStyle name="Percent" xfId="2" builtinId="5"/>
  </cellStyles>
  <dxfs count="0"/>
  <tableStyles count="0" defaultTableStyle="TableStyleMedium2" defaultPivotStyle="PivotStyleLight16"/>
  <colors>
    <mruColors>
      <color rgb="FF89143C"/>
      <color rgb="FF450A1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0</xdr:colOff>
      <xdr:row>5</xdr:row>
      <xdr:rowOff>57150</xdr:rowOff>
    </xdr:from>
    <xdr:ext cx="3456000" cy="1021043"/>
    <xdr:pic>
      <xdr:nvPicPr>
        <xdr:cNvPr id="2" name="Picture 1">
          <a:extLst>
            <a:ext uri="{FF2B5EF4-FFF2-40B4-BE49-F238E27FC236}">
              <a16:creationId xmlns:a16="http://schemas.microsoft.com/office/drawing/2014/main" id="{B6434782-16E7-4BD5-8C7F-E016B87396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93920" y="963930"/>
          <a:ext cx="3456000" cy="1021043"/>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63493</xdr:colOff>
      <xdr:row>0</xdr:row>
      <xdr:rowOff>47619</xdr:rowOff>
    </xdr:from>
    <xdr:ext cx="1417320" cy="418734"/>
    <xdr:pic>
      <xdr:nvPicPr>
        <xdr:cNvPr id="2" name="Picture 1">
          <a:extLst>
            <a:ext uri="{FF2B5EF4-FFF2-40B4-BE49-F238E27FC236}">
              <a16:creationId xmlns:a16="http://schemas.microsoft.com/office/drawing/2014/main" id="{7FC85E08-DA0C-487F-80F9-5E142A2F4B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493" y="47619"/>
          <a:ext cx="1417320" cy="418734"/>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136072</xdr:colOff>
      <xdr:row>0</xdr:row>
      <xdr:rowOff>40821</xdr:rowOff>
    </xdr:from>
    <xdr:ext cx="1417320" cy="418734"/>
    <xdr:pic>
      <xdr:nvPicPr>
        <xdr:cNvPr id="2" name="Picture 1">
          <a:extLst>
            <a:ext uri="{FF2B5EF4-FFF2-40B4-BE49-F238E27FC236}">
              <a16:creationId xmlns:a16="http://schemas.microsoft.com/office/drawing/2014/main" id="{1E807BB7-6FD5-4879-B350-0C47EA023F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8012" y="40821"/>
          <a:ext cx="1417320" cy="418734"/>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https://uaepwc.sharepoint.com/teams/AE-INT-CNST-MCIT-National-Data-Program/Shared%20Documents/General/Phase%201/03%20Project%20Delivery/Track%20B%20-%20Priority%20Sectors%20Activation%20and%20Enablement/02%20National%20Data%20Quality,%20Data%20Standardization,%20QDTI/04%20Qatar%20Data%20Trust%20Index%20(QDTI)/02%20Assets%20and%20Templates/24112024_NPC_Data%20Compliance%20Assessment_V1.0.xlsx" TargetMode="External"/><Relationship Id="rId2" Type="http://schemas.microsoft.com/office/2019/04/relationships/externalLinkLongPath" Target="https://uaepwc.sharepoint.com/teams/AE-INT-CNST-MCIT-National-Data-Program/Shared%20Documents/General/Phase%201/03%20Project%20Delivery/Track%20B%20-%20Priority%20Sectors%20Activation%20and%20Enablement/02%20National%20Data%20Quality,%20Data%20Standardization,%20QDTI/04%20Qatar%20Data%20Trust%20Index%20(QDTI)/02%20Assets%20and%20Templates/24112024_NPC_Data%20Compliance%20Assessment_V1.0.xlsx?2DA70C18" TargetMode="External"/><Relationship Id="rId1" Type="http://schemas.openxmlformats.org/officeDocument/2006/relationships/externalLinkPath" Target="file:///\\2DA70C18\24112024_NPC_Data%20Compliance%20Assessment_V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Cover Page"/>
      <sheetName val="Introduction"/>
      <sheetName val="Version Control"/>
      <sheetName val="1. DMSG"/>
      <sheetName val="2. DAM"/>
      <sheetName val="3. DQM"/>
      <sheetName val="4. MRDM"/>
      <sheetName val="5. DCM"/>
      <sheetName val="6. DCMM"/>
      <sheetName val="7. DSO"/>
      <sheetName val="8. DSII"/>
      <sheetName val="9. SA"/>
      <sheetName val="10. DM"/>
      <sheetName val="11. DSPO"/>
      <sheetName val="12. DCL"/>
      <sheetName val="Assessment Results"/>
      <sheetName val="Standards Master List"/>
      <sheetName val="Analysis"/>
      <sheetName val="Drop Down Lis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persons/person.xml><?xml version="1.0" encoding="utf-8"?>
<personList xmlns="http://schemas.microsoft.com/office/spreadsheetml/2018/threadedcomments" xmlns:x="http://schemas.openxmlformats.org/spreadsheetml/2006/main">
  <person displayName="Dana Dweiri (MiddleEast)" id="{0E7AAF3A-EE68-4642-9075-EDE1550D1914}" userId="S::dana.s.dweiri@pwc.com::32a072fb-0a2c-4937-b0ba-92554efeb03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5" dT="2025-03-27T08:57:28.67" personId="{0E7AAF3A-EE68-4642-9075-EDE1550D1914}" id="{FA100DAC-D5C0-456E-B688-F8CAE9D76BE8}">
    <text>Please confirm DSII</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A6B18-FF76-4CE4-8A59-EC9DC3E014DF}">
  <sheetPr>
    <tabColor theme="1"/>
  </sheetPr>
  <dimension ref="C3:G15"/>
  <sheetViews>
    <sheetView topLeftCell="M13" zoomScaleNormal="100" workbookViewId="0">
      <selection activeCell="M18" sqref="M18"/>
    </sheetView>
  </sheetViews>
  <sheetFormatPr defaultColWidth="14.42578125" defaultRowHeight="15" customHeight="1"/>
  <cols>
    <col min="1" max="3" width="3.42578125" style="13" customWidth="1"/>
    <col min="4" max="5" width="9.42578125" style="13" customWidth="1"/>
    <col min="6" max="6" width="17.42578125" style="13" customWidth="1"/>
    <col min="7" max="7" width="9.42578125" style="13" customWidth="1"/>
    <col min="8" max="8" width="3.42578125" style="13" customWidth="1"/>
    <col min="9" max="20" width="8.85546875" style="13" customWidth="1"/>
    <col min="21" max="21" width="13.42578125" style="13" customWidth="1"/>
    <col min="22" max="23" width="8.42578125" style="13" customWidth="1"/>
    <col min="24" max="16384" width="14.42578125" style="13"/>
  </cols>
  <sheetData>
    <row r="3" spans="3:7" ht="14.25" customHeight="1">
      <c r="C3" s="14" t="s">
        <v>0</v>
      </c>
      <c r="E3" s="15"/>
      <c r="F3" s="15"/>
      <c r="G3" s="15"/>
    </row>
    <row r="4" spans="3:7" ht="14.25" customHeight="1">
      <c r="C4" s="14"/>
      <c r="E4" s="15"/>
      <c r="F4" s="15"/>
      <c r="G4" s="15"/>
    </row>
    <row r="5" spans="3:7" ht="14.25" customHeight="1">
      <c r="C5" s="16" t="s">
        <v>1</v>
      </c>
      <c r="E5" s="15"/>
      <c r="F5" s="15"/>
      <c r="G5" s="15"/>
    </row>
    <row r="6" spans="3:7" ht="14.25" customHeight="1">
      <c r="C6" s="17"/>
    </row>
    <row r="7" spans="3:7" ht="14.25" customHeight="1">
      <c r="C7" s="94" t="s">
        <v>2</v>
      </c>
      <c r="D7" s="94"/>
      <c r="E7" s="94"/>
      <c r="F7" s="94"/>
      <c r="G7" s="94"/>
    </row>
    <row r="8" spans="3:7" ht="14.25" customHeight="1">
      <c r="C8" s="18"/>
      <c r="D8" s="18"/>
      <c r="E8" s="18"/>
      <c r="F8" s="18"/>
      <c r="G8" s="18"/>
    </row>
    <row r="9" spans="3:7" ht="14.25" customHeight="1">
      <c r="C9" s="94" t="s">
        <v>3</v>
      </c>
      <c r="D9" s="94"/>
      <c r="E9" s="94"/>
      <c r="F9" s="94"/>
      <c r="G9" s="94"/>
    </row>
    <row r="10" spans="3:7" ht="14.25" customHeight="1">
      <c r="C10" s="19"/>
      <c r="D10" s="19"/>
      <c r="E10" s="19"/>
      <c r="F10" s="19"/>
      <c r="G10" s="19"/>
    </row>
    <row r="11" spans="3:7" ht="14.25" customHeight="1">
      <c r="C11" s="19"/>
      <c r="D11" s="19"/>
      <c r="E11" s="19"/>
      <c r="F11" s="19"/>
      <c r="G11" s="19"/>
    </row>
    <row r="12" spans="3:7" ht="14.25" customHeight="1">
      <c r="C12" s="19"/>
      <c r="D12" s="19"/>
      <c r="E12" s="19"/>
      <c r="F12" s="19"/>
      <c r="G12" s="19"/>
    </row>
    <row r="13" spans="3:7" ht="15" customHeight="1">
      <c r="C13" s="20"/>
      <c r="D13" s="20"/>
      <c r="E13" s="20"/>
      <c r="F13" s="20"/>
      <c r="G13" s="20"/>
    </row>
    <row r="14" spans="3:7" ht="15" customHeight="1">
      <c r="C14" s="20"/>
      <c r="D14" s="20"/>
      <c r="E14" s="20"/>
      <c r="F14" s="20"/>
      <c r="G14" s="20"/>
    </row>
    <row r="15" spans="3:7" ht="15" customHeight="1">
      <c r="C15" s="20"/>
      <c r="D15" s="20"/>
      <c r="E15" s="20"/>
      <c r="F15" s="20"/>
      <c r="G15" s="20"/>
    </row>
  </sheetData>
  <mergeCells count="2">
    <mergeCell ref="C7:G7"/>
    <mergeCell ref="C9:G9"/>
  </mergeCells>
  <hyperlinks>
    <hyperlink ref="C9:G9" location="'Version Control'!A1" display="Version Control" xr:uid="{784A0CC4-A699-48BC-80FE-BF1138A107EF}"/>
    <hyperlink ref="C7:G7" location="'Document Purpose &amp; Scope'!A1" display="Document Purpose &amp; Scope " xr:uid="{5CCD1A1C-81DF-4827-B099-A361C5790944}"/>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7FDA7-5616-464F-B27B-F18F4529A4C5}">
  <sheetPr>
    <tabColor theme="1"/>
  </sheetPr>
  <dimension ref="A1:AA978"/>
  <sheetViews>
    <sheetView topLeftCell="A27" zoomScale="80" zoomScaleNormal="80" workbookViewId="0">
      <selection activeCell="C25" sqref="C25"/>
    </sheetView>
  </sheetViews>
  <sheetFormatPr defaultColWidth="14.42578125" defaultRowHeight="15" customHeight="1"/>
  <cols>
    <col min="1" max="1" width="20.28515625" style="15" customWidth="1"/>
    <col min="2" max="2" width="1.42578125" style="15" customWidth="1"/>
    <col min="3" max="3" width="40" style="15" bestFit="1" customWidth="1"/>
    <col min="4" max="4" width="1.5703125" style="15" customWidth="1"/>
    <col min="5" max="5" width="82.85546875" style="15" bestFit="1" customWidth="1"/>
    <col min="6" max="6" width="1.42578125" style="15" customWidth="1"/>
    <col min="7" max="7" width="24.85546875" style="15" customWidth="1"/>
    <col min="8" max="10" width="8.42578125" style="15" customWidth="1"/>
    <col min="11" max="11" width="78" style="15" customWidth="1"/>
    <col min="12" max="27" width="8.42578125" style="15" customWidth="1"/>
    <col min="28" max="16384" width="14.42578125" style="15"/>
  </cols>
  <sheetData>
    <row r="1" spans="1:27" s="13" customFormat="1" ht="14.25" customHeight="1">
      <c r="A1" s="15"/>
      <c r="B1" s="15"/>
      <c r="C1" s="95" t="s">
        <v>4</v>
      </c>
      <c r="D1" s="108"/>
      <c r="E1" s="108"/>
      <c r="F1" s="108"/>
      <c r="G1" s="108"/>
      <c r="H1" s="108"/>
      <c r="I1" s="108"/>
      <c r="J1" s="108"/>
      <c r="K1" s="108"/>
      <c r="L1" s="15"/>
      <c r="M1" s="15"/>
      <c r="N1" s="15"/>
      <c r="O1" s="15"/>
      <c r="P1" s="15"/>
      <c r="Q1" s="15"/>
      <c r="R1" s="15"/>
      <c r="S1" s="15"/>
      <c r="T1" s="15"/>
      <c r="U1" s="15"/>
      <c r="V1" s="15"/>
      <c r="W1" s="15"/>
      <c r="X1" s="15"/>
      <c r="Y1" s="15"/>
      <c r="Z1" s="15"/>
      <c r="AA1" s="15"/>
    </row>
    <row r="2" spans="1:27" s="13" customFormat="1" ht="14.25" customHeight="1">
      <c r="A2" s="15"/>
      <c r="B2" s="15"/>
      <c r="C2" s="108"/>
      <c r="D2" s="108"/>
      <c r="E2" s="108"/>
      <c r="F2" s="108"/>
      <c r="G2" s="108"/>
      <c r="H2" s="108"/>
      <c r="I2" s="108"/>
      <c r="J2" s="108"/>
      <c r="K2" s="108"/>
      <c r="L2" s="15"/>
      <c r="M2" s="15"/>
      <c r="N2" s="15"/>
      <c r="O2" s="15"/>
      <c r="P2" s="15"/>
      <c r="Q2" s="15"/>
      <c r="R2" s="15"/>
      <c r="S2" s="15"/>
      <c r="T2" s="15"/>
      <c r="U2" s="15"/>
      <c r="V2" s="15"/>
      <c r="W2" s="15"/>
      <c r="X2" s="15"/>
      <c r="Y2" s="15"/>
      <c r="Z2" s="15"/>
      <c r="AA2" s="15"/>
    </row>
    <row r="3" spans="1:27" s="13" customFormat="1" ht="14.25" customHeight="1">
      <c r="A3" s="15"/>
      <c r="B3" s="15"/>
      <c r="C3" s="108"/>
      <c r="D3" s="108"/>
      <c r="E3" s="108"/>
      <c r="F3" s="108"/>
      <c r="G3" s="108"/>
      <c r="H3" s="108"/>
      <c r="I3" s="108"/>
      <c r="J3" s="108"/>
      <c r="K3" s="108"/>
      <c r="L3" s="15"/>
      <c r="M3" s="15"/>
      <c r="N3" s="15"/>
      <c r="O3" s="15"/>
      <c r="P3" s="15"/>
      <c r="Q3" s="15"/>
      <c r="R3" s="15"/>
      <c r="S3" s="15"/>
      <c r="T3" s="15"/>
      <c r="U3" s="15"/>
      <c r="V3" s="15"/>
      <c r="W3" s="15"/>
      <c r="X3" s="15"/>
      <c r="Y3" s="15"/>
      <c r="Z3" s="15"/>
      <c r="AA3" s="15"/>
    </row>
    <row r="4" spans="1:27" ht="14.25">
      <c r="A4" s="21"/>
      <c r="B4" s="21"/>
      <c r="C4" s="21"/>
      <c r="D4" s="21"/>
      <c r="E4" s="21"/>
      <c r="F4" s="21"/>
      <c r="G4" s="21"/>
      <c r="H4" s="21"/>
      <c r="I4" s="21"/>
      <c r="J4" s="21"/>
      <c r="K4" s="21"/>
      <c r="L4" s="96"/>
      <c r="M4" s="96"/>
      <c r="N4" s="96"/>
      <c r="O4" s="96"/>
      <c r="P4" s="96"/>
    </row>
    <row r="5" spans="1:27" ht="14.25" customHeight="1">
      <c r="A5" s="97">
        <v>1</v>
      </c>
      <c r="B5" s="37"/>
      <c r="C5" s="98" t="s">
        <v>5</v>
      </c>
      <c r="D5" s="98"/>
      <c r="E5" s="98"/>
      <c r="F5" s="98"/>
      <c r="G5" s="98"/>
      <c r="H5" s="98"/>
      <c r="I5" s="98"/>
      <c r="J5" s="98"/>
      <c r="K5" s="98"/>
      <c r="L5" s="96"/>
      <c r="M5" s="96"/>
      <c r="N5" s="96"/>
      <c r="O5" s="96"/>
      <c r="P5" s="96"/>
    </row>
    <row r="6" spans="1:27" ht="14.25" customHeight="1">
      <c r="A6" s="97"/>
      <c r="B6" s="37"/>
      <c r="C6" s="99"/>
      <c r="D6" s="99"/>
      <c r="E6" s="99"/>
      <c r="F6" s="99"/>
      <c r="G6" s="99"/>
      <c r="H6" s="99"/>
      <c r="I6" s="99"/>
      <c r="J6" s="99"/>
      <c r="K6" s="99"/>
      <c r="L6" s="96"/>
      <c r="M6" s="96"/>
      <c r="N6" s="96"/>
      <c r="O6" s="96"/>
      <c r="P6" s="96"/>
    </row>
    <row r="7" spans="1:27" ht="9" customHeight="1">
      <c r="A7" s="97"/>
      <c r="B7" s="37"/>
      <c r="C7" s="99"/>
      <c r="D7" s="99"/>
      <c r="E7" s="99"/>
      <c r="F7" s="99"/>
      <c r="G7" s="99"/>
      <c r="H7" s="99"/>
      <c r="I7" s="99"/>
      <c r="J7" s="99"/>
      <c r="K7" s="99"/>
      <c r="L7" s="96"/>
      <c r="M7" s="96"/>
      <c r="N7" s="96"/>
      <c r="O7" s="96"/>
      <c r="P7" s="96"/>
    </row>
    <row r="8" spans="1:27" ht="14.1" customHeight="1">
      <c r="A8" s="97"/>
      <c r="B8" s="37"/>
      <c r="C8" s="99"/>
      <c r="D8" s="99"/>
      <c r="E8" s="99"/>
      <c r="F8" s="99"/>
      <c r="G8" s="99"/>
      <c r="H8" s="99"/>
      <c r="I8" s="99"/>
      <c r="J8" s="99"/>
      <c r="K8" s="99"/>
      <c r="L8" s="96"/>
      <c r="M8" s="96"/>
      <c r="N8" s="96"/>
      <c r="O8" s="96"/>
      <c r="P8" s="96"/>
    </row>
    <row r="9" spans="1:27" ht="14.25" customHeight="1">
      <c r="A9" s="97"/>
      <c r="B9" s="37"/>
      <c r="C9" s="99"/>
      <c r="D9" s="99"/>
      <c r="E9" s="99"/>
      <c r="F9" s="99"/>
      <c r="G9" s="99"/>
      <c r="H9" s="99"/>
      <c r="I9" s="99"/>
      <c r="J9" s="99"/>
      <c r="K9" s="99"/>
      <c r="L9" s="96"/>
      <c r="M9" s="96"/>
      <c r="N9" s="96"/>
      <c r="O9" s="96"/>
      <c r="P9" s="96"/>
    </row>
    <row r="10" spans="1:27" ht="9" customHeight="1">
      <c r="A10" s="97"/>
      <c r="B10" s="37"/>
      <c r="C10" s="100"/>
      <c r="D10" s="100"/>
      <c r="E10" s="100"/>
      <c r="F10" s="100"/>
      <c r="G10" s="100"/>
      <c r="H10" s="100"/>
      <c r="I10" s="100"/>
      <c r="J10" s="100"/>
      <c r="K10" s="100"/>
      <c r="L10" s="96"/>
      <c r="M10" s="96"/>
      <c r="N10" s="96"/>
      <c r="O10" s="96"/>
      <c r="P10" s="96"/>
    </row>
    <row r="11" spans="1:27" ht="14.25">
      <c r="A11" s="21"/>
      <c r="B11" s="21"/>
      <c r="C11" s="22"/>
      <c r="D11" s="22"/>
      <c r="E11" s="22"/>
      <c r="F11" s="22"/>
      <c r="G11" s="22"/>
      <c r="H11" s="22"/>
      <c r="I11" s="22"/>
      <c r="J11" s="22"/>
      <c r="K11" s="22"/>
      <c r="L11" s="96"/>
      <c r="M11" s="96"/>
      <c r="N11" s="96"/>
      <c r="O11" s="96"/>
      <c r="P11" s="96"/>
    </row>
    <row r="12" spans="1:27" ht="14.25">
      <c r="A12" s="21"/>
      <c r="B12" s="21"/>
      <c r="C12" s="22"/>
      <c r="D12" s="22"/>
      <c r="E12" s="22"/>
      <c r="F12" s="22"/>
      <c r="G12" s="22"/>
      <c r="H12" s="22"/>
      <c r="I12" s="22"/>
      <c r="J12" s="22"/>
      <c r="K12" s="22"/>
      <c r="L12" s="96"/>
      <c r="M12" s="96"/>
      <c r="N12" s="96"/>
      <c r="O12" s="96"/>
      <c r="P12" s="96"/>
    </row>
    <row r="13" spans="1:27" ht="51.95" customHeight="1">
      <c r="A13" s="37">
        <v>2</v>
      </c>
      <c r="B13" s="38"/>
      <c r="C13" s="101" t="s">
        <v>6</v>
      </c>
      <c r="D13" s="102"/>
      <c r="E13" s="102"/>
      <c r="F13" s="102"/>
      <c r="G13" s="102"/>
      <c r="H13" s="102"/>
      <c r="I13" s="102"/>
      <c r="J13" s="102"/>
      <c r="K13" s="103"/>
      <c r="L13" s="96"/>
      <c r="M13" s="96"/>
      <c r="N13" s="96"/>
      <c r="O13" s="96"/>
      <c r="P13" s="96"/>
    </row>
    <row r="14" spans="1:27" ht="14.25">
      <c r="A14" s="21"/>
      <c r="B14" s="21"/>
      <c r="C14" s="21"/>
      <c r="D14" s="21"/>
      <c r="E14" s="21"/>
      <c r="F14" s="21"/>
      <c r="G14" s="21"/>
      <c r="H14" s="21"/>
      <c r="I14" s="21"/>
      <c r="J14" s="21"/>
      <c r="K14" s="39" t="s">
        <v>7</v>
      </c>
      <c r="L14" s="96"/>
      <c r="M14" s="96"/>
      <c r="N14" s="96"/>
      <c r="O14" s="96"/>
      <c r="P14" s="96"/>
    </row>
    <row r="15" spans="1:27" ht="15.75" customHeight="1"/>
    <row r="16" spans="1:27" ht="18.75" customHeight="1">
      <c r="A16" s="50" t="s">
        <v>8</v>
      </c>
      <c r="B16" s="51"/>
      <c r="C16" s="49"/>
    </row>
    <row r="17" spans="1:10" ht="6" customHeight="1"/>
    <row r="18" spans="1:10" ht="15.75" customHeight="1">
      <c r="A18" s="42" t="s">
        <v>9</v>
      </c>
      <c r="C18" s="42" t="s">
        <v>10</v>
      </c>
      <c r="E18" s="42" t="s">
        <v>11</v>
      </c>
      <c r="G18" s="42" t="s">
        <v>12</v>
      </c>
    </row>
    <row r="19" spans="1:10" s="44" customFormat="1" ht="31.35" customHeight="1">
      <c r="A19" s="43">
        <v>1</v>
      </c>
      <c r="C19" s="43" t="s">
        <v>13</v>
      </c>
      <c r="E19" s="43" t="s">
        <v>14</v>
      </c>
      <c r="G19" s="47" t="s">
        <v>15</v>
      </c>
    </row>
    <row r="20" spans="1:10" s="46" customFormat="1" ht="30.75" customHeight="1">
      <c r="A20" s="45">
        <f>A19+1</f>
        <v>2</v>
      </c>
      <c r="C20" s="45" t="s">
        <v>16</v>
      </c>
      <c r="E20" s="43" t="s">
        <v>17</v>
      </c>
      <c r="G20" s="48" t="s">
        <v>18</v>
      </c>
    </row>
    <row r="21" spans="1:10" s="44" customFormat="1" ht="42" customHeight="1">
      <c r="A21" s="45">
        <f t="shared" ref="A21:A30" si="0">A20+1</f>
        <v>3</v>
      </c>
      <c r="C21" s="43" t="s">
        <v>19</v>
      </c>
      <c r="E21" s="43" t="s">
        <v>20</v>
      </c>
      <c r="G21" s="47" t="s">
        <v>21</v>
      </c>
    </row>
    <row r="22" spans="1:10" s="44" customFormat="1" ht="41.1" customHeight="1">
      <c r="A22" s="45">
        <f t="shared" si="0"/>
        <v>4</v>
      </c>
      <c r="C22" s="43" t="s">
        <v>22</v>
      </c>
      <c r="E22" s="43" t="s">
        <v>23</v>
      </c>
      <c r="G22" s="47" t="s">
        <v>24</v>
      </c>
    </row>
    <row r="23" spans="1:10" s="44" customFormat="1" ht="15.75" hidden="1" customHeight="1">
      <c r="A23" s="45">
        <f t="shared" si="0"/>
        <v>5</v>
      </c>
      <c r="C23" s="43"/>
      <c r="E23" s="43"/>
      <c r="G23" s="43"/>
      <c r="J23" s="44" t="s">
        <v>25</v>
      </c>
    </row>
    <row r="24" spans="1:10" s="44" customFormat="1" ht="31.35" customHeight="1">
      <c r="A24" s="45">
        <f>A22+1</f>
        <v>5</v>
      </c>
      <c r="C24" s="43" t="s">
        <v>26</v>
      </c>
      <c r="E24" s="43" t="s">
        <v>27</v>
      </c>
      <c r="G24" s="47" t="s">
        <v>28</v>
      </c>
    </row>
    <row r="25" spans="1:10" s="44" customFormat="1" ht="27.75" customHeight="1">
      <c r="A25" s="45">
        <f t="shared" si="0"/>
        <v>6</v>
      </c>
      <c r="C25" s="43" t="s">
        <v>29</v>
      </c>
      <c r="E25" s="43" t="s">
        <v>30</v>
      </c>
      <c r="G25" s="47" t="s">
        <v>31</v>
      </c>
    </row>
    <row r="26" spans="1:10" s="44" customFormat="1" ht="33" customHeight="1">
      <c r="A26" s="45">
        <f t="shared" si="0"/>
        <v>7</v>
      </c>
      <c r="C26" s="43" t="s">
        <v>32</v>
      </c>
      <c r="E26" s="43" t="s">
        <v>33</v>
      </c>
      <c r="G26" s="47" t="s">
        <v>34</v>
      </c>
    </row>
    <row r="27" spans="1:10" s="44" customFormat="1" ht="27.75" customHeight="1">
      <c r="A27" s="45">
        <f t="shared" si="0"/>
        <v>8</v>
      </c>
      <c r="C27" s="43" t="s">
        <v>35</v>
      </c>
      <c r="E27" s="43" t="s">
        <v>36</v>
      </c>
      <c r="G27" s="47" t="s">
        <v>35</v>
      </c>
    </row>
    <row r="28" spans="1:10" s="44" customFormat="1" ht="25.35" customHeight="1">
      <c r="A28" s="45">
        <f t="shared" si="0"/>
        <v>9</v>
      </c>
      <c r="C28" s="43" t="s">
        <v>37</v>
      </c>
      <c r="E28" s="43" t="s">
        <v>38</v>
      </c>
      <c r="G28" s="47" t="s">
        <v>37</v>
      </c>
    </row>
    <row r="29" spans="1:10" s="44" customFormat="1" ht="27.75" customHeight="1">
      <c r="A29" s="45">
        <f t="shared" si="0"/>
        <v>10</v>
      </c>
      <c r="C29" s="43" t="s">
        <v>39</v>
      </c>
      <c r="E29" s="43" t="s">
        <v>40</v>
      </c>
      <c r="G29" s="47" t="s">
        <v>41</v>
      </c>
    </row>
    <row r="30" spans="1:10" s="44" customFormat="1" ht="30" customHeight="1">
      <c r="A30" s="45">
        <f t="shared" si="0"/>
        <v>11</v>
      </c>
      <c r="C30" s="43" t="s">
        <v>42</v>
      </c>
      <c r="E30" s="43" t="s">
        <v>43</v>
      </c>
      <c r="G30" s="47" t="s">
        <v>42</v>
      </c>
    </row>
    <row r="31" spans="1:10" ht="30" customHeight="1">
      <c r="A31" s="45">
        <f t="shared" ref="A31" si="1">A30+1</f>
        <v>12</v>
      </c>
      <c r="B31" s="44"/>
      <c r="C31" s="43" t="s">
        <v>44</v>
      </c>
      <c r="D31" s="44"/>
      <c r="E31" s="43" t="s">
        <v>45</v>
      </c>
      <c r="F31" s="44"/>
      <c r="G31" s="48" t="s">
        <v>46</v>
      </c>
    </row>
    <row r="32" spans="1:10" ht="15.75" customHeight="1"/>
    <row r="33" spans="1:5" ht="15.75" customHeight="1">
      <c r="A33" s="50" t="s">
        <v>47</v>
      </c>
      <c r="B33" s="41"/>
      <c r="C33" s="41"/>
    </row>
    <row r="34" spans="1:5" ht="9" customHeight="1"/>
    <row r="35" spans="1:5" ht="15.75" customHeight="1">
      <c r="A35" s="42" t="s">
        <v>9</v>
      </c>
      <c r="C35" s="42" t="s">
        <v>48</v>
      </c>
      <c r="E35" s="42" t="s">
        <v>11</v>
      </c>
    </row>
    <row r="36" spans="1:5" ht="15.75" customHeight="1">
      <c r="A36" s="41">
        <v>1</v>
      </c>
      <c r="C36" s="41" t="s">
        <v>49</v>
      </c>
      <c r="E36" s="41" t="s">
        <v>50</v>
      </c>
    </row>
    <row r="37" spans="1:5" ht="15.75" customHeight="1">
      <c r="A37" s="41">
        <f>A36+1</f>
        <v>2</v>
      </c>
      <c r="C37" s="41" t="s">
        <v>51</v>
      </c>
      <c r="E37" s="41" t="s">
        <v>52</v>
      </c>
    </row>
    <row r="38" spans="1:5" ht="15.75" customHeight="1">
      <c r="A38" s="41">
        <f t="shared" ref="A38:A40" si="2">A37+1</f>
        <v>3</v>
      </c>
      <c r="C38" s="41" t="s">
        <v>53</v>
      </c>
      <c r="E38" s="41" t="s">
        <v>54</v>
      </c>
    </row>
    <row r="39" spans="1:5" ht="15.75" customHeight="1">
      <c r="A39" s="41">
        <f t="shared" si="2"/>
        <v>4</v>
      </c>
      <c r="C39" s="41" t="s">
        <v>55</v>
      </c>
      <c r="E39" s="41" t="s">
        <v>56</v>
      </c>
    </row>
    <row r="40" spans="1:5" ht="15.75" customHeight="1">
      <c r="A40" s="41">
        <f t="shared" si="2"/>
        <v>5</v>
      </c>
      <c r="C40" s="41" t="s">
        <v>57</v>
      </c>
      <c r="E40" s="41" t="s">
        <v>58</v>
      </c>
    </row>
    <row r="41" spans="1:5" ht="15.75" customHeight="1"/>
    <row r="42" spans="1:5" ht="15.75" customHeight="1"/>
    <row r="43" spans="1:5" ht="15.75" customHeight="1"/>
    <row r="44" spans="1:5" ht="15.75" customHeight="1"/>
    <row r="45" spans="1:5" ht="15.75" customHeight="1"/>
    <row r="46" spans="1:5" ht="15.75" customHeight="1"/>
    <row r="47" spans="1:5" ht="15.75" customHeight="1"/>
    <row r="48" spans="1: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sheetData>
  <mergeCells count="5">
    <mergeCell ref="C1:K3"/>
    <mergeCell ref="L4:P14"/>
    <mergeCell ref="A5:A10"/>
    <mergeCell ref="C5:K10"/>
    <mergeCell ref="C13:K13"/>
  </mergeCells>
  <hyperlinks>
    <hyperlink ref="K14" location="'Cover Page'!A1" display="Cover Page" xr:uid="{6D42D7CC-F120-4098-8EAF-9CE62B70883D}"/>
    <hyperlink ref="G19" location="'Data Mgmt Strategy &amp; Governance'!A1" display="'Data Mgmt Strategy &amp; Governance" xr:uid="{CA7174EF-23C2-402A-9387-27198F26A3BC}"/>
    <hyperlink ref="G20" location="'Data Quality Management'!A1" display="'Data Quality Management'" xr:uid="{3F6A3BE4-C7A2-4BFA-AA25-C5984E333809}"/>
    <hyperlink ref="G31" location="'Data Sharing,Integ.&amp;Interop.'!A1" display="'Data Sharing,Integ.&amp;Interop." xr:uid="{214FC290-16EC-4DF6-8E10-42395C3DC278}"/>
    <hyperlink ref="G30" location="'Data Culture &amp; Literacy'!A1" display="'Data Culture &amp; Literacy'" xr:uid="{A4ED6340-6841-4353-880C-4B4CE77A69D8}"/>
    <hyperlink ref="G29" location="'Document &amp; Content Management'!A1" display="'Document &amp; Content Management'" xr:uid="{ECF51D6D-FF77-4E30-8436-28EC1CB453BF}"/>
    <hyperlink ref="G28" location="'Data Monetization'!A1" display="'Data Monetization" xr:uid="{56FDC45D-8CB7-489A-AD9B-52C7E38E5A4E}"/>
    <hyperlink ref="G27" location="'Statistics &amp; Analytics'!A1" display="'Statistics &amp; Analytics" xr:uid="{982FBB3D-BE1C-4427-B04E-558D1CA18C6B}"/>
    <hyperlink ref="G26" location="'Data Storage &amp; Operations'!A1" display="'Data Storage &amp; Operations'" xr:uid="{33E0EE4D-6CF1-433E-B388-409E959163E3}"/>
    <hyperlink ref="G25" location="'Data Catalog &amp; Metadata Mgmt.'!A1" display="'Data Catalog &amp; Metadata Mgmt.'" xr:uid="{C02EB51A-3F62-48BA-89EB-DF274E7CD748}"/>
    <hyperlink ref="G24" location="'Data Sec., Priv. &amp; Other Reg.'!A1" display="'Data Sec., Priv. &amp; Other Reg.'!A1" xr:uid="{F4DDA1BC-BBF2-46B0-8B58-9C65791C4D9C}"/>
    <hyperlink ref="G22" location="'Master &amp; Ref. Data Management'!A1" display="'Master &amp; Ref. Data Management'" xr:uid="{3299FEF5-5DE2-4EED-8FEA-2A13C110EE29}"/>
    <hyperlink ref="G21" location="'Data Architecture &amp; Modeling'!A1" display="'Data Architecture &amp; Modeling'" xr:uid="{F087FCC8-6C0F-49B3-A98E-CD5BE31DA8A1}"/>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DD701-8F1F-4193-94EE-38D81F978A3F}">
  <sheetPr>
    <tabColor theme="1"/>
  </sheetPr>
  <dimension ref="A1:Z994"/>
  <sheetViews>
    <sheetView zoomScale="70" zoomScaleNormal="70" workbookViewId="0">
      <selection activeCell="L62" sqref="L62:M68"/>
    </sheetView>
  </sheetViews>
  <sheetFormatPr defaultColWidth="14.42578125" defaultRowHeight="15" customHeight="1"/>
  <cols>
    <col min="1" max="1" width="4.140625" style="25" customWidth="1"/>
    <col min="2" max="3" width="24.140625" style="25" customWidth="1"/>
    <col min="4" max="4" width="74.85546875" style="25" customWidth="1"/>
    <col min="5" max="5" width="14.42578125" style="25"/>
    <col min="6" max="10" width="8.42578125" style="25" hidden="1" customWidth="1"/>
    <col min="11" max="26" width="8.42578125" style="25" customWidth="1"/>
    <col min="27" max="16384" width="14.42578125" style="25"/>
  </cols>
  <sheetData>
    <row r="1" spans="1:26" ht="14.25" customHeight="1">
      <c r="A1" s="21"/>
      <c r="B1" s="95" t="s">
        <v>3</v>
      </c>
      <c r="C1" s="95"/>
      <c r="D1" s="95"/>
      <c r="E1" s="23"/>
      <c r="F1" s="24"/>
      <c r="G1" s="24"/>
      <c r="H1" s="24"/>
      <c r="I1" s="24"/>
      <c r="J1" s="24"/>
      <c r="K1" s="21"/>
      <c r="L1" s="21"/>
      <c r="M1" s="21"/>
      <c r="N1" s="21"/>
      <c r="O1" s="21"/>
      <c r="P1" s="21"/>
      <c r="Q1" s="21"/>
      <c r="R1" s="21"/>
      <c r="S1" s="21"/>
      <c r="T1" s="21"/>
      <c r="U1" s="21"/>
      <c r="V1" s="21"/>
      <c r="W1" s="21"/>
      <c r="X1" s="21"/>
      <c r="Y1" s="21"/>
      <c r="Z1" s="21"/>
    </row>
    <row r="2" spans="1:26" ht="14.25" customHeight="1">
      <c r="A2" s="21"/>
      <c r="B2" s="95"/>
      <c r="C2" s="95"/>
      <c r="D2" s="95"/>
      <c r="E2" s="23"/>
      <c r="F2" s="24"/>
      <c r="G2" s="24"/>
      <c r="H2" s="24"/>
      <c r="I2" s="24"/>
      <c r="J2" s="24"/>
      <c r="K2" s="21"/>
      <c r="L2" s="21"/>
      <c r="M2" s="21"/>
      <c r="N2" s="21"/>
      <c r="O2" s="21"/>
      <c r="P2" s="21"/>
      <c r="Q2" s="21"/>
      <c r="R2" s="21"/>
      <c r="S2" s="21"/>
      <c r="T2" s="21"/>
      <c r="U2" s="21"/>
      <c r="V2" s="21"/>
      <c r="W2" s="21"/>
      <c r="X2" s="21"/>
      <c r="Y2" s="21"/>
      <c r="Z2" s="21"/>
    </row>
    <row r="3" spans="1:26" ht="14.25" customHeight="1">
      <c r="A3" s="21"/>
      <c r="B3" s="95"/>
      <c r="C3" s="95"/>
      <c r="D3" s="95"/>
      <c r="E3" s="23"/>
      <c r="F3" s="24"/>
      <c r="G3" s="24"/>
      <c r="H3" s="24"/>
      <c r="I3" s="24"/>
      <c r="J3" s="24"/>
      <c r="K3" s="21"/>
      <c r="L3" s="21"/>
      <c r="M3" s="21"/>
      <c r="N3" s="21"/>
      <c r="O3" s="21"/>
      <c r="P3" s="21"/>
      <c r="Q3" s="21"/>
      <c r="R3" s="21"/>
      <c r="S3" s="21"/>
      <c r="T3" s="21"/>
      <c r="U3" s="21"/>
      <c r="V3" s="21"/>
      <c r="W3" s="21"/>
      <c r="X3" s="21"/>
      <c r="Y3" s="21"/>
      <c r="Z3" s="21"/>
    </row>
    <row r="4" spans="1:26" ht="14.25">
      <c r="A4" s="21"/>
      <c r="B4" s="21"/>
      <c r="C4" s="21"/>
      <c r="D4" s="21"/>
      <c r="E4" s="21"/>
      <c r="F4" s="21"/>
      <c r="G4" s="21"/>
      <c r="H4" s="21"/>
      <c r="I4" s="21"/>
      <c r="J4" s="21"/>
      <c r="K4" s="21"/>
      <c r="L4" s="21"/>
      <c r="M4" s="21"/>
      <c r="N4" s="21"/>
      <c r="O4" s="21"/>
      <c r="P4" s="21"/>
      <c r="Q4" s="21"/>
      <c r="R4" s="21"/>
      <c r="S4" s="21"/>
      <c r="T4" s="21"/>
      <c r="U4" s="21"/>
      <c r="V4" s="21"/>
      <c r="W4" s="21"/>
      <c r="X4" s="21"/>
      <c r="Y4" s="21"/>
      <c r="Z4" s="21"/>
    </row>
    <row r="5" spans="1:26">
      <c r="A5" s="21"/>
      <c r="B5" s="40" t="s">
        <v>59</v>
      </c>
      <c r="C5" s="40" t="s">
        <v>60</v>
      </c>
      <c r="D5" s="40" t="s">
        <v>11</v>
      </c>
      <c r="E5" s="21"/>
      <c r="F5" s="21"/>
      <c r="G5" s="21"/>
      <c r="H5" s="21"/>
      <c r="I5" s="21"/>
      <c r="J5" s="21"/>
      <c r="K5" s="21"/>
      <c r="L5" s="21"/>
      <c r="M5" s="21"/>
      <c r="N5" s="21"/>
      <c r="O5" s="21"/>
      <c r="P5" s="21"/>
      <c r="Q5" s="21"/>
      <c r="R5" s="21"/>
      <c r="S5" s="21"/>
      <c r="T5" s="21"/>
      <c r="U5" s="21"/>
      <c r="V5" s="21"/>
      <c r="W5" s="21"/>
      <c r="X5" s="21"/>
      <c r="Y5" s="21"/>
      <c r="Z5" s="21"/>
    </row>
    <row r="6" spans="1:26">
      <c r="A6" s="26"/>
      <c r="B6" s="27" t="s">
        <v>61</v>
      </c>
      <c r="C6" s="28">
        <v>45795</v>
      </c>
      <c r="D6" s="29" t="s">
        <v>1</v>
      </c>
      <c r="E6" s="21"/>
      <c r="F6" s="21"/>
      <c r="G6" s="21"/>
      <c r="H6" s="21"/>
      <c r="I6" s="21"/>
      <c r="J6" s="21"/>
      <c r="K6" s="21"/>
      <c r="L6" s="21"/>
      <c r="M6" s="21"/>
      <c r="N6" s="21"/>
      <c r="O6" s="21"/>
      <c r="P6" s="21"/>
      <c r="Q6" s="21"/>
      <c r="R6" s="21"/>
      <c r="S6" s="21"/>
      <c r="T6" s="21"/>
      <c r="U6" s="21"/>
      <c r="V6" s="21"/>
      <c r="W6" s="21"/>
      <c r="X6" s="21"/>
      <c r="Y6" s="21"/>
      <c r="Z6" s="21"/>
    </row>
    <row r="7" spans="1:26" ht="30" customHeight="1">
      <c r="A7" s="26"/>
      <c r="B7" s="30"/>
      <c r="C7" s="31"/>
      <c r="D7" s="32"/>
      <c r="E7" s="21"/>
      <c r="F7" s="21"/>
      <c r="G7" s="21"/>
      <c r="H7" s="21"/>
      <c r="I7" s="21"/>
      <c r="J7" s="21"/>
      <c r="K7" s="21"/>
      <c r="L7" s="21"/>
      <c r="M7" s="21"/>
      <c r="N7" s="21"/>
      <c r="O7" s="21"/>
      <c r="P7" s="21"/>
      <c r="Q7" s="21"/>
      <c r="R7" s="21"/>
      <c r="S7" s="21"/>
      <c r="T7" s="21"/>
      <c r="U7" s="21"/>
      <c r="V7" s="21"/>
      <c r="W7" s="21"/>
      <c r="X7" s="21"/>
      <c r="Y7" s="21"/>
      <c r="Z7" s="21"/>
    </row>
    <row r="8" spans="1:26" ht="30" customHeight="1">
      <c r="A8" s="26"/>
      <c r="B8" s="30"/>
      <c r="C8" s="31"/>
      <c r="D8" s="32"/>
      <c r="E8" s="21"/>
      <c r="F8" s="21"/>
      <c r="G8" s="21"/>
      <c r="H8" s="21"/>
      <c r="I8" s="21"/>
      <c r="J8" s="21"/>
      <c r="K8" s="21"/>
      <c r="L8" s="21"/>
      <c r="M8" s="21"/>
      <c r="N8" s="21"/>
      <c r="O8" s="21"/>
      <c r="P8" s="21"/>
      <c r="Q8" s="21"/>
      <c r="R8" s="21"/>
      <c r="S8" s="21"/>
      <c r="T8" s="21"/>
      <c r="U8" s="21"/>
      <c r="V8" s="21"/>
      <c r="W8" s="21"/>
      <c r="X8" s="21"/>
      <c r="Y8" s="21"/>
      <c r="Z8" s="21"/>
    </row>
    <row r="9" spans="1:26" ht="18.95" customHeight="1">
      <c r="A9" s="26"/>
      <c r="B9" s="39" t="s">
        <v>7</v>
      </c>
      <c r="C9" s="31"/>
      <c r="D9" s="32"/>
      <c r="E9" s="21"/>
      <c r="F9" s="21"/>
      <c r="G9" s="21"/>
      <c r="H9" s="21"/>
      <c r="I9" s="21"/>
      <c r="J9" s="21"/>
      <c r="K9" s="21"/>
      <c r="L9" s="21"/>
      <c r="M9" s="21"/>
      <c r="N9" s="21"/>
      <c r="O9" s="21"/>
      <c r="P9" s="21"/>
      <c r="Q9" s="21"/>
      <c r="R9" s="21"/>
      <c r="S9" s="21"/>
      <c r="T9" s="21"/>
      <c r="U9" s="21"/>
      <c r="V9" s="21"/>
      <c r="W9" s="21"/>
      <c r="X9" s="21"/>
      <c r="Y9" s="21"/>
      <c r="Z9" s="21"/>
    </row>
    <row r="10" spans="1:26" ht="21" customHeight="1">
      <c r="A10" s="26"/>
      <c r="B10" s="30"/>
      <c r="C10" s="31"/>
      <c r="D10" s="32"/>
      <c r="E10" s="21"/>
      <c r="F10" s="21"/>
      <c r="G10" s="21"/>
      <c r="H10" s="21"/>
      <c r="I10" s="21"/>
      <c r="J10" s="21"/>
      <c r="K10" s="21"/>
      <c r="L10" s="21"/>
      <c r="M10" s="21"/>
      <c r="N10" s="21"/>
      <c r="O10" s="21"/>
      <c r="P10" s="21"/>
      <c r="Q10" s="21"/>
      <c r="R10" s="21"/>
      <c r="S10" s="21"/>
      <c r="T10" s="21"/>
      <c r="U10" s="21"/>
      <c r="V10" s="21"/>
      <c r="W10" s="21"/>
      <c r="X10" s="21"/>
      <c r="Y10" s="21"/>
      <c r="Z10" s="21"/>
    </row>
    <row r="11" spans="1:26" ht="24" customHeight="1">
      <c r="A11" s="26"/>
      <c r="B11" s="30"/>
      <c r="C11" s="31"/>
      <c r="D11" s="32"/>
      <c r="E11" s="21"/>
      <c r="F11" s="21"/>
      <c r="G11" s="21"/>
      <c r="H11" s="21"/>
      <c r="I11" s="21"/>
      <c r="J11" s="21"/>
      <c r="K11" s="21"/>
      <c r="L11" s="21"/>
      <c r="M11" s="21"/>
      <c r="N11" s="21"/>
      <c r="O11" s="21"/>
      <c r="P11" s="21"/>
      <c r="Q11" s="21"/>
      <c r="R11" s="21"/>
      <c r="S11" s="21"/>
      <c r="T11" s="21"/>
      <c r="U11" s="21"/>
      <c r="V11" s="21"/>
      <c r="W11" s="21"/>
      <c r="X11" s="21"/>
      <c r="Y11" s="21"/>
      <c r="Z11" s="21"/>
    </row>
    <row r="12" spans="1:26" ht="30.75" customHeight="1">
      <c r="A12" s="26"/>
      <c r="B12" s="30"/>
      <c r="C12" s="31"/>
      <c r="D12" s="32"/>
      <c r="E12" s="21"/>
      <c r="F12" s="21"/>
      <c r="G12" s="21"/>
      <c r="H12" s="21"/>
      <c r="I12" s="21"/>
      <c r="J12" s="21"/>
      <c r="K12" s="21"/>
      <c r="L12" s="21"/>
      <c r="M12" s="21"/>
      <c r="N12" s="21"/>
      <c r="O12" s="21"/>
      <c r="P12" s="21"/>
      <c r="Q12" s="21"/>
      <c r="R12" s="21"/>
      <c r="S12" s="21"/>
      <c r="T12" s="21"/>
      <c r="U12" s="21"/>
      <c r="V12" s="21"/>
      <c r="W12" s="21"/>
      <c r="X12" s="21"/>
      <c r="Y12" s="21"/>
      <c r="Z12" s="21"/>
    </row>
    <row r="13" spans="1:26" ht="31.5" customHeight="1">
      <c r="A13" s="26"/>
      <c r="B13" s="30"/>
      <c r="C13" s="31"/>
      <c r="D13" s="33"/>
      <c r="E13" s="21"/>
      <c r="F13" s="21"/>
      <c r="G13" s="21"/>
      <c r="H13" s="21"/>
      <c r="I13" s="21"/>
      <c r="J13" s="21"/>
      <c r="K13" s="21"/>
      <c r="L13" s="21"/>
      <c r="M13" s="21"/>
      <c r="N13" s="21"/>
      <c r="O13" s="21"/>
      <c r="P13" s="21"/>
      <c r="Q13" s="21"/>
      <c r="R13" s="21"/>
      <c r="S13" s="21"/>
      <c r="T13" s="21"/>
      <c r="U13" s="21"/>
      <c r="V13" s="21"/>
      <c r="W13" s="21"/>
      <c r="X13" s="21"/>
      <c r="Y13" s="21"/>
      <c r="Z13" s="21"/>
    </row>
    <row r="14" spans="1:26">
      <c r="A14" s="21"/>
      <c r="B14" s="30"/>
      <c r="C14" s="31"/>
      <c r="D14" s="33"/>
      <c r="E14" s="21"/>
      <c r="F14" s="21"/>
      <c r="G14" s="21"/>
      <c r="H14" s="21"/>
      <c r="I14" s="21"/>
      <c r="J14" s="21"/>
      <c r="K14" s="21"/>
      <c r="L14" s="21"/>
      <c r="M14" s="21"/>
      <c r="N14" s="21"/>
      <c r="O14" s="21"/>
      <c r="P14" s="21"/>
      <c r="Q14" s="21"/>
      <c r="R14" s="21"/>
      <c r="S14" s="21"/>
      <c r="T14" s="21"/>
      <c r="U14" s="21"/>
      <c r="V14" s="21"/>
      <c r="W14" s="21"/>
      <c r="X14" s="21"/>
      <c r="Y14" s="21"/>
      <c r="Z14" s="21"/>
    </row>
    <row r="15" spans="1:26" ht="28.5" customHeight="1">
      <c r="A15" s="21"/>
      <c r="B15" s="30"/>
      <c r="C15" s="31"/>
      <c r="D15" s="33"/>
      <c r="E15" s="21"/>
      <c r="F15" s="21"/>
      <c r="G15" s="21"/>
      <c r="H15" s="21"/>
      <c r="I15" s="21"/>
      <c r="J15" s="21"/>
      <c r="K15" s="21"/>
      <c r="L15" s="21"/>
      <c r="M15" s="21"/>
      <c r="N15" s="21"/>
      <c r="O15" s="21"/>
      <c r="P15" s="21"/>
      <c r="Q15" s="21"/>
      <c r="R15" s="21"/>
      <c r="S15" s="21"/>
      <c r="T15" s="21"/>
      <c r="U15" s="21"/>
      <c r="V15" s="21"/>
      <c r="W15" s="21"/>
      <c r="X15" s="21"/>
      <c r="Y15" s="21"/>
      <c r="Z15" s="21"/>
    </row>
    <row r="16" spans="1:26" ht="15.75" customHeight="1">
      <c r="A16" s="21"/>
      <c r="B16" s="34"/>
      <c r="C16" s="35"/>
      <c r="D16" s="36"/>
      <c r="E16" s="21"/>
      <c r="F16" s="21"/>
      <c r="G16" s="21"/>
      <c r="H16" s="21"/>
      <c r="I16" s="21"/>
      <c r="J16" s="21"/>
      <c r="K16" s="21"/>
      <c r="L16" s="21"/>
      <c r="M16" s="21"/>
      <c r="N16" s="21"/>
      <c r="O16" s="21"/>
      <c r="P16" s="21"/>
      <c r="Q16" s="21"/>
      <c r="R16" s="21"/>
      <c r="S16" s="21"/>
      <c r="T16" s="21"/>
      <c r="U16" s="21"/>
      <c r="V16" s="21"/>
      <c r="W16" s="21"/>
      <c r="X16" s="21"/>
      <c r="Y16" s="21"/>
      <c r="Z16" s="21"/>
    </row>
    <row r="17" spans="1:26" ht="15.75" customHeight="1">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row>
    <row r="18" spans="1:26" ht="15.75" customHeight="1">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row>
    <row r="19" spans="1:26" ht="15.75" customHeight="1">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spans="1:26" ht="15.75" customHeight="1">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spans="1:26" ht="15.75" customHeight="1">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spans="1:26" ht="15.75" customHeight="1">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spans="1:26" ht="15.75" customHeight="1">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spans="1:26" ht="15.75" customHeight="1">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spans="1:26" ht="15.75" customHeight="1">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spans="1:26" ht="15.75" customHeight="1">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spans="1:26" ht="15" customHeight="1">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spans="1:26" ht="15" customHeight="1">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spans="1:26" ht="15.75" customHeight="1">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spans="1:26" ht="15.75" customHeight="1">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spans="1:26" ht="15.75" customHeight="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spans="1:26" ht="15.75" customHeight="1">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spans="1:26" ht="15.75" customHeight="1">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spans="1:26" ht="15.75" customHeight="1">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spans="1:26" ht="15.75" customHeight="1">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spans="1:26" ht="15.75" customHeight="1">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spans="1:26" ht="15.75" customHeight="1">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spans="1:26" ht="15.75" customHeight="1">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spans="1:26" ht="15.75" customHeight="1">
      <c r="A39" s="21"/>
      <c r="B39" s="21"/>
      <c r="D39" s="21"/>
      <c r="E39" s="21"/>
      <c r="F39" s="21"/>
      <c r="G39" s="21"/>
      <c r="H39" s="21"/>
      <c r="I39" s="21"/>
      <c r="J39" s="21"/>
      <c r="K39" s="21"/>
      <c r="L39" s="21"/>
      <c r="M39" s="21"/>
      <c r="N39" s="21"/>
      <c r="O39" s="21"/>
      <c r="P39" s="21"/>
      <c r="Q39" s="21"/>
      <c r="R39" s="21"/>
      <c r="S39" s="21"/>
      <c r="T39" s="21"/>
      <c r="U39" s="21"/>
      <c r="V39" s="21"/>
      <c r="W39" s="21"/>
      <c r="X39" s="21"/>
      <c r="Y39" s="21"/>
      <c r="Z39" s="21"/>
    </row>
    <row r="40" spans="1:26" ht="15.75" customHeight="1">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spans="1:26" ht="15.75" customHeight="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spans="1:26" ht="15.75" customHeight="1">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spans="1:26" ht="15.75" customHeight="1">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spans="1:26" ht="15.75" customHeight="1">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spans="1:26" ht="15.75" customHeight="1">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spans="1:26" ht="15.75" customHeight="1">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spans="1:26" ht="15.75" customHeight="1">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spans="1:26" ht="15.75" customHeight="1">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spans="1:26" ht="15.75" customHeight="1">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spans="1:26" ht="15.75" customHeight="1">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spans="1:26" ht="15.75" customHeight="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spans="1:26" ht="15.75" customHeight="1">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spans="1:26" ht="15.75" customHeight="1">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spans="1:26" ht="15.75" customHeight="1">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spans="1:26" ht="15.75" customHeight="1">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spans="1:26" ht="15.75" customHeight="1">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spans="1:26" ht="15.75" customHeight="1">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spans="1:26" ht="15.75" customHeight="1">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spans="1:26" ht="15.75" customHeight="1">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spans="1:26" ht="15.75" customHeight="1">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spans="1:26" ht="15.75" customHeight="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spans="1:26" ht="15.75" customHeight="1">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spans="1:26" ht="15.75" customHeight="1">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spans="1:26" ht="15.75" customHeight="1">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spans="1:26" ht="15.75" customHeight="1">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spans="1:26" ht="15.75" customHeight="1">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spans="1:26" ht="15.75" customHeight="1">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spans="1:26" ht="15.75" customHeight="1">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spans="1:26" ht="15.75" customHeight="1">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spans="1:26" ht="15.75" customHeight="1">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spans="1:26" ht="15.75" customHeight="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spans="1:26" ht="15.75" customHeight="1">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spans="1:26" ht="15.75" customHeight="1">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spans="1:26" ht="15.75" customHeight="1">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spans="1:26" ht="15.75" customHeight="1">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spans="1:26" ht="15.75" customHeight="1">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spans="1:26" ht="15.75" customHeight="1">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spans="1:26" ht="15.75" customHeight="1">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spans="1:26" ht="15.75" customHeight="1">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spans="1:26" ht="15.75" customHeight="1">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spans="1:26" ht="15.75" customHeight="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spans="1:26" ht="15.75" customHeight="1">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spans="1:26" ht="15.75" customHeight="1">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spans="1:26" ht="15.75" customHeight="1">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spans="1:26" ht="15.75" customHeight="1">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spans="1:26" ht="15.75" customHeight="1">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spans="1:26" ht="15.75" customHeight="1">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spans="1:26" ht="15.75" customHeight="1">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spans="1:26" ht="15.75" customHeight="1">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spans="1:26" ht="15.75" customHeight="1">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spans="1:26" ht="15.75" customHeight="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spans="1:26" ht="15.75" customHeight="1">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spans="1:26" ht="15.75" customHeight="1">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spans="1:26" ht="15.75" customHeight="1">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spans="1:26" ht="15.75" customHeight="1">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spans="1:26" ht="15.75" customHeight="1">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spans="1:26" ht="15.75" customHeight="1">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spans="1:26" ht="15.75" customHeight="1">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spans="1:26" ht="15.75" customHeight="1">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spans="1:26" ht="15.75" customHeight="1">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spans="1:26" ht="15.75" customHeight="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spans="1:26" ht="15.75" customHeight="1">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spans="1:26" ht="15.75" customHeight="1">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spans="1:26" ht="15.75" customHeight="1">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spans="1:26" ht="15.75" customHeight="1">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spans="1:26" ht="15.75" customHeight="1">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spans="1:26" ht="15.75" customHeight="1">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spans="1:26" ht="15.75" customHeight="1">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spans="1:26" ht="15.75" customHeight="1">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spans="1:26" ht="15.75" customHeight="1">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spans="1:26" ht="15.75" customHeight="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spans="1:26" ht="15.75" customHeight="1">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spans="1:26" ht="15.75" customHeight="1">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spans="1:26" ht="15.75" customHeight="1">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spans="1:26" ht="15.75" customHeight="1">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spans="1:26" ht="15.75" customHeight="1">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spans="1:26" ht="15.75" customHeight="1">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spans="1:26" ht="15.75" customHeight="1">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spans="1:26" ht="15.75" customHeight="1">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spans="1:26" ht="15.75" customHeight="1">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spans="1:26" ht="15.75" customHeight="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spans="1:26" ht="15.75" customHeight="1">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spans="1:26" ht="15.75" customHeight="1">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spans="1:26" ht="15.75" customHeight="1">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spans="1:26" ht="15.75" customHeight="1">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spans="1:26" ht="15.75" customHeight="1">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spans="1:26" ht="15.75" customHeight="1">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spans="1:26" ht="15.75" customHeight="1">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spans="1:26" ht="15.75" customHeight="1">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spans="1:26" ht="15.75" customHeight="1">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spans="1:26" ht="15.75" customHeight="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spans="1:26" ht="15.75" customHeight="1">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spans="1:26" ht="15.75" customHeight="1">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spans="1:26" ht="15.75" customHeight="1">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spans="1:26" ht="15.75" customHeight="1">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spans="1:26" ht="15.75" customHeight="1">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spans="1:26" ht="15.75" customHeight="1">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spans="1:26" ht="15.75" customHeight="1">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spans="1:26" ht="15.75" customHeight="1">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spans="1:26" ht="15.75" customHeight="1">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spans="1:26" ht="15.75" customHeight="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spans="1:26" ht="15.75" customHeight="1">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spans="1:26" ht="15.75" customHeight="1">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spans="1:26" ht="15.75" customHeight="1">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spans="1:26" ht="15.75" customHeight="1">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spans="1:26" ht="15.75" customHeight="1">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spans="1:26" ht="15.75" customHeight="1">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spans="1:26" ht="15.75" customHeight="1">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spans="1:26" ht="15.75" customHeight="1">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spans="1:26" ht="15.75" customHeight="1">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spans="1:26" ht="15.75" customHeight="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spans="1:26" ht="15.75" customHeight="1">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spans="1:26" ht="15.75" customHeight="1">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spans="1:26" ht="15.75" customHeight="1">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spans="1:26" ht="15.75" customHeight="1">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spans="1:26" ht="15.75" customHeight="1">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spans="1:26" ht="15.75" customHeight="1">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spans="1:26" ht="15.75" customHeight="1">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spans="1:26" ht="15.75" customHeight="1">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spans="1:26" ht="15.75" customHeight="1">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spans="1:26" ht="15.75" customHeight="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spans="1:26" ht="15.75" customHeight="1">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spans="1:26" ht="15.75" customHeight="1">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spans="1:26" ht="15.75" customHeight="1">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spans="1:26" ht="15.75" customHeight="1">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spans="1:26" ht="15.75" customHeight="1">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spans="1:26" ht="15.75" customHeight="1">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spans="1:26" ht="15.75" customHeight="1">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spans="1:26" ht="15.75" customHeight="1">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spans="1:26" ht="15.75" customHeight="1">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spans="1:26" ht="15.75" customHeight="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spans="1:26" ht="15.75" customHeight="1">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spans="1:26" ht="15.75" customHeight="1">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spans="1:26" ht="15.75" customHeight="1">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spans="1:26" ht="15.75" customHeight="1">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spans="1:26" ht="15.75" customHeight="1">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spans="1:26" ht="15.75" customHeight="1">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spans="1:26" ht="15.75" customHeight="1">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spans="1:26" ht="15.75" customHeight="1">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spans="1:26" ht="15.75" customHeight="1">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spans="1:26" ht="15.75" customHeight="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spans="1:26" ht="15.75" customHeight="1">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spans="1:26" ht="15.75" customHeight="1">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spans="1:26" ht="15.75" customHeight="1">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spans="1:26" ht="15.75" customHeight="1">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spans="1:26" ht="15.75" customHeight="1">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spans="1:26" ht="15.75" customHeight="1">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spans="1:26" ht="15.75" customHeight="1">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spans="1:26" ht="15.75" customHeight="1">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spans="1:26" ht="15.75" customHeight="1">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spans="1:26" ht="15.75" customHeight="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spans="1:26" ht="15.75" customHeight="1">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spans="1:26" ht="15.75" customHeight="1">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spans="1:26" ht="15.75" customHeight="1">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spans="1:26" ht="15.75" customHeight="1">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spans="1:26" ht="15.75" customHeight="1">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spans="1:26" ht="15.75" customHeight="1">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spans="1:26" ht="15.75" customHeight="1">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spans="1:26" ht="15.75" customHeight="1">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spans="1:26" ht="15.75" customHeight="1">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spans="1:26" ht="15.75" customHeight="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spans="1:26" ht="15.75" customHeight="1">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spans="1:26" ht="15.75" customHeight="1">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spans="1:26" ht="15.75" customHeight="1">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spans="1:26" ht="15.75" customHeight="1">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spans="1:26" ht="15.75" customHeight="1">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spans="1:26" ht="15.75" customHeight="1">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spans="1:26" ht="15.75" customHeight="1">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spans="1:26" ht="15.75" customHeight="1">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spans="1:26" ht="15.75" customHeight="1">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spans="1:26" ht="15.75" customHeight="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spans="1:26" ht="15.75" customHeight="1">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spans="1:26" ht="15.75" customHeight="1">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spans="1:26" ht="15.75" customHeight="1">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spans="1:26" ht="15.75" customHeight="1">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spans="1:26" ht="15.75" customHeight="1">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spans="1:26" ht="15.75" customHeight="1">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spans="1:26" ht="15.75" customHeight="1">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spans="1:26" ht="15.75" customHeight="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spans="1:26" ht="15.75" customHeight="1">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spans="1:26" ht="15.7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spans="1:26" ht="15.7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spans="1:26" ht="15.7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spans="1:26" ht="15.7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spans="1:26" ht="15.7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spans="1:26" ht="15.7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spans="1:26" ht="15.7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spans="1:26" ht="15.7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spans="1:26" ht="15.7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spans="1:26" ht="15.7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spans="1:26" ht="15.7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spans="1:26" ht="15.7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spans="1:26" ht="15.7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spans="1:26" ht="15.7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spans="1:26" ht="15.7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spans="1:26" ht="15.7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spans="1:26" ht="15.7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spans="1:26" ht="15.7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spans="1:26" ht="15.7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spans="1:26" ht="15.7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spans="1:26" ht="15.7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spans="1:26" ht="15.7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spans="1:26" ht="15.7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spans="1:26" ht="15.7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spans="1:26" ht="15.7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spans="1:26" ht="15.7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spans="1:26" ht="15.7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spans="1:26" ht="15.7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spans="1:26" ht="15.7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spans="1:26" ht="15.7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spans="1:26" ht="15.7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spans="1:26" ht="15.7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spans="1:26" ht="15.7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spans="1:26" ht="15.7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spans="1:26" ht="15.7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spans="1:26" ht="15.7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spans="1:26" ht="15.7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spans="1:26" ht="15.7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spans="1:26" ht="15.7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spans="1:26" ht="15.7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spans="1:26" ht="15.7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spans="1:26" ht="15.7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spans="1:26" ht="15.7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spans="1:26" ht="15.75"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spans="1:26" ht="15.7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spans="1:26" ht="15.75"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spans="1:26" ht="15.7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spans="1:26" ht="15.75"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spans="1:26" ht="15.7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spans="1:26" ht="15.75"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spans="1:26" ht="15.7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spans="1:26" ht="15.7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spans="1:26" ht="15.7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spans="1:26" ht="15.7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spans="1:26" ht="15.7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spans="1:26" ht="15.7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spans="1:26" ht="15.7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spans="1:26" ht="15.7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spans="1:26" ht="15.7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spans="1:26" ht="15.7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spans="1:26" ht="15.7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spans="1:26" ht="15.7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spans="1:26" ht="15.7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spans="1:26" ht="15.7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spans="1:26" ht="15.7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spans="1:26" ht="15.7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spans="1:26" ht="15.7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spans="1:26" ht="15.7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spans="1:26" ht="15.7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spans="1:26" ht="15.7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spans="1:26" ht="15.7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spans="1:26" ht="15.7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spans="1:26" ht="15.7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spans="1:26" ht="15.7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spans="1:26" ht="15.7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spans="1:26" ht="15.7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spans="1:26" ht="15.7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spans="1:26" ht="15.75"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spans="1:26" ht="15.75"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spans="1:26" ht="15.75"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spans="1:26" ht="15.75"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spans="1:26" ht="15.75"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spans="1:26" ht="15.75"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spans="1:26" ht="15.75"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spans="1:26" ht="15.75"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spans="1:26" ht="15.75"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spans="1:26" ht="15.75"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spans="1:26" ht="15.75"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spans="1:26" ht="15.75"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spans="1:26" ht="15.75"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spans="1:26" ht="15.75"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spans="1:26" ht="15.75"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spans="1:26" ht="15.75"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spans="1:26" ht="15.75"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spans="1:26" ht="15.75"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spans="1:26" ht="15.75"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spans="1:26" ht="15.75"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spans="1:26" ht="15.75"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spans="1:26" ht="15.75"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spans="1:26" ht="15.75"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spans="1:26" ht="15.75"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spans="1:26" ht="15.75"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spans="1:26" ht="15.75"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spans="1:26" ht="15.75"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spans="1:26" ht="15.75"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spans="1:26" ht="15.75" customHeigh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spans="1:26" ht="15.75"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spans="1:26" ht="15.75" customHeigh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spans="1:26" ht="15.75"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spans="1:26" ht="15.75" customHeigh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spans="1:26" ht="15.75" customHeigh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spans="1:26" ht="15.75" customHeight="1">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spans="1:26" ht="15.75" customHeight="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spans="1:26" ht="15.75" customHeight="1">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spans="1:26" ht="15.75" customHeight="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spans="1:26" ht="15.75" customHeight="1">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spans="1:26" ht="15.75" customHeight="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spans="1:26" ht="15.75" customHeight="1">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spans="1:26" ht="15.75" customHeight="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spans="1:26" ht="15.75" customHeight="1">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spans="1:26" ht="15.75" customHeight="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spans="1:26" ht="15.75" customHeight="1">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spans="1:26" ht="15.75" customHeight="1">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spans="1:26" ht="15.75" customHeight="1">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spans="1:26" ht="15.75" customHeight="1">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spans="1:26" ht="15.75" customHeight="1">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spans="1:26" ht="15.75" customHeight="1">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spans="1:26" ht="15.75" customHeight="1">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spans="1:26" ht="15.75" customHeight="1">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spans="1:26" ht="15.75" customHeight="1">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spans="1:26" ht="15.75" customHeight="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spans="1:26" ht="15.75" customHeight="1">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spans="1:26" ht="15.75" customHeight="1">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spans="1:26" ht="15.75" customHeight="1">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spans="1:26" ht="15.75" customHeight="1">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spans="1:26" ht="15.75" customHeight="1">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spans="1:26" ht="15.75" customHeight="1">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spans="1:26" ht="15.75" customHeight="1">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spans="1:26" ht="15.75" customHeight="1">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spans="1:26" ht="15.75" customHeight="1">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spans="1:26" ht="15.75" customHeight="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spans="1:26" ht="15.75" customHeight="1">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spans="1:26" ht="15.75" customHeight="1">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spans="1:26" ht="15.75" customHeight="1">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spans="1:26" ht="15.75" customHeight="1">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spans="1:26" ht="15.75" customHeight="1">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spans="1:26" ht="15.75" customHeight="1">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spans="1:26" ht="15.75" customHeight="1">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spans="1:26" ht="15.75" customHeight="1">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spans="1:26" ht="15.75" customHeight="1">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spans="1:26" ht="15.75" customHeight="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spans="1:26" ht="15.75" customHeight="1">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spans="1:26" ht="15.75" customHeight="1">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spans="1:26" ht="15.75" customHeight="1">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spans="1:26" ht="15.75" customHeight="1">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spans="1:26" ht="15.75" customHeight="1">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spans="1:26" ht="15.75" customHeight="1">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spans="1:26" ht="15.75" customHeight="1">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spans="1:26" ht="15.75" customHeight="1">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spans="1:26" ht="15.75" customHeight="1">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spans="1:26" ht="15.75" customHeight="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spans="1:26" ht="15.75" customHeight="1">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spans="1:26" ht="15.75" customHeight="1">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spans="1:26" ht="15.75" customHeight="1">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spans="1:26" ht="15.75" customHeight="1">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spans="1:26" ht="15.75" customHeight="1">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spans="1:26" ht="15.75" customHeight="1">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spans="1:26" ht="15.75" customHeight="1">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spans="1:26" ht="15.75" customHeight="1">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spans="1:26" ht="15.75" customHeight="1">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spans="1:26" ht="15.75" customHeight="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spans="1:26" ht="15.75" customHeight="1">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spans="1:26" ht="15.75" customHeight="1">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spans="1:26" ht="15.75" customHeight="1">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spans="1:26" ht="15.75" customHeight="1">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spans="1:26" ht="15.75" customHeight="1">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spans="1:26" ht="15.75" customHeight="1">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spans="1:26" ht="15.75" customHeight="1">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spans="1:26" ht="15.75" customHeight="1">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spans="1:26" ht="15.75" customHeight="1">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spans="1:26" ht="15.75" customHeight="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spans="1:26" ht="15.75" customHeight="1">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spans="1:26" ht="15.75" customHeight="1">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spans="1:26" ht="15.75" customHeight="1">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spans="1:26" ht="15.75" customHeight="1">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spans="1:26" ht="15.75" customHeight="1">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spans="1:26" ht="15.75" customHeight="1">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spans="1:26" ht="15.75" customHeight="1">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spans="1:26" ht="15.75" customHeight="1">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spans="1:26" ht="15.75" customHeight="1">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spans="1:26" ht="15.75" customHeight="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spans="1:26" ht="15.75" customHeight="1">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spans="1:26" ht="15.75" customHeight="1">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spans="1:26" ht="15.75" customHeight="1">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spans="1:26" ht="15.75" customHeight="1">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spans="1:26" ht="15.75" customHeight="1">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spans="1:26" ht="15.75" customHeight="1">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spans="1:26" ht="15.75" customHeight="1">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spans="1:26" ht="15.75" customHeight="1">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spans="1:26" ht="15.75" customHeight="1">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spans="1:26" ht="15.75" customHeight="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spans="1:26" ht="15.75" customHeight="1">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spans="1:26" ht="15.75" customHeight="1">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spans="1:26" ht="15.75" customHeight="1">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spans="1:26" ht="15.75" customHeight="1">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spans="1:26" ht="15.75" customHeight="1">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spans="1:26" ht="15.75" customHeight="1">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spans="1:26" ht="15.75" customHeight="1">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spans="1:26" ht="15.75" customHeight="1">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spans="1:26" ht="15.75" customHeight="1">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spans="1:26" ht="15.75" customHeight="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spans="1:26" ht="15.75" customHeight="1">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spans="1:26" ht="15.75" customHeight="1">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spans="1:26" ht="15.75" customHeight="1">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spans="1:26" ht="15.75" customHeight="1">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spans="1:26" ht="15.75" customHeight="1">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spans="1:26" ht="15.75" customHeight="1">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spans="1:26" ht="15.75" customHeight="1">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spans="1:26" ht="15.75" customHeight="1">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spans="1:26" ht="15.75" customHeight="1">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spans="1:26" ht="15.75" customHeight="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spans="1:26" ht="15.75" customHeight="1">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spans="1:26" ht="15.75" customHeight="1">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spans="1:26" ht="15.75" customHeight="1">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spans="1:26" ht="15.75" customHeight="1">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spans="1:26" ht="15.75" customHeight="1">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spans="1:26" ht="15.75" customHeight="1">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spans="1:26" ht="15.75" customHeight="1">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spans="1:26" ht="15.75" customHeight="1">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spans="1:26" ht="15.75" customHeight="1">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spans="1:26" ht="15.75" customHeight="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spans="1:26" ht="15.75" customHeight="1">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spans="1:26" ht="15.75" customHeight="1">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spans="1:26" ht="15.75" customHeight="1">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spans="1:26" ht="15.75" customHeight="1">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spans="1:26" ht="15.75" customHeight="1">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spans="1:26" ht="15.75" customHeight="1">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spans="1:26" ht="15.75" customHeight="1">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spans="1:26" ht="15.75" customHeight="1">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spans="1:26" ht="15.75" customHeight="1">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spans="1:26" ht="15.75" customHeight="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spans="1:26" ht="15.75" customHeight="1">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spans="1:26" ht="15.75" customHeight="1">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spans="1:26" ht="15.75" customHeight="1">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spans="1:26" ht="15.75" customHeight="1">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spans="1:26" ht="15.75" customHeight="1">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spans="1:26" ht="15.75" customHeight="1">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spans="1:26" ht="15.75" customHeight="1">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spans="1:26" ht="15.75" customHeight="1">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spans="1:26" ht="15.75" customHeight="1">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spans="1:26" ht="15.75" customHeight="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spans="1:26" ht="15.75" customHeight="1">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spans="1:26" ht="15.75" customHeight="1">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spans="1:26" ht="15.75" customHeight="1">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spans="1:26" ht="15.75" customHeight="1">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spans="1:26" ht="15.75" customHeight="1">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spans="1:26" ht="15.75" customHeight="1">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spans="1:26" ht="15.75" customHeight="1">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spans="1:26" ht="15.75" customHeight="1">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spans="1:26" ht="15.75" customHeight="1">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spans="1:26" ht="15.75" customHeight="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spans="1:26" ht="15.75" customHeight="1">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spans="1:26" ht="15.75" customHeight="1">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spans="1:26" ht="15.75" customHeight="1">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spans="1:26" ht="15.75" customHeight="1">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spans="1:26" ht="15.75" customHeight="1">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spans="1:26" ht="15.75" customHeight="1">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spans="1:26" ht="15.75" customHeight="1">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spans="1:26" ht="15.75" customHeight="1">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spans="1:26" ht="15.75" customHeight="1">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spans="1:26" ht="15.75" customHeight="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spans="1:26" ht="15.75" customHeight="1">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spans="1:26" ht="15.75" customHeight="1">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spans="1:26" ht="15.75" customHeight="1">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spans="1:26" ht="15.75" customHeight="1">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spans="1:26" ht="15.75" customHeight="1">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spans="1:26" ht="15.75" customHeight="1">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spans="1:26" ht="15.75" customHeight="1">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spans="1:26" ht="15.75" customHeight="1">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spans="1:26" ht="15.75" customHeight="1">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spans="1:26" ht="15.75" customHeight="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spans="1:26" ht="15.75" customHeight="1">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spans="1:26" ht="15.75" customHeight="1">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spans="1:26" ht="15.75" customHeight="1">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spans="1:26" ht="15.75" customHeight="1">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spans="1:26" ht="15.75" customHeight="1">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spans="1:26" ht="15.75" customHeight="1">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spans="1:26" ht="15.75" customHeight="1">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spans="1:26" ht="15.75" customHeight="1">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spans="1:26" ht="15.75" customHeight="1">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spans="1:26" ht="15.75" customHeight="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spans="1:26" ht="15.75" customHeight="1">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spans="1:26" ht="15.75" customHeight="1">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spans="1:26" ht="15.75" customHeight="1">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spans="1:26" ht="15.75" customHeight="1">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spans="1:26" ht="15.75" customHeight="1">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spans="1:26" ht="15.75" customHeight="1">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spans="1:26" ht="15.75" customHeight="1">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spans="1:26" ht="15.75" customHeight="1">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spans="1:26" ht="15.75" customHeight="1">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spans="1:26" ht="15.75" customHeight="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spans="1:26" ht="15.75" customHeight="1">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spans="1:26" ht="15.75" customHeight="1">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spans="1:26" ht="15.75" customHeight="1">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spans="1:26" ht="15.75" customHeight="1">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spans="1:26" ht="15.75" customHeight="1">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spans="1:26" ht="15.75" customHeight="1">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spans="1:26" ht="15.75" customHeight="1">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spans="1:26" ht="15.75" customHeight="1">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spans="1:26" ht="15.75" customHeight="1">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spans="1:26" ht="15.75" customHeight="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spans="1:26" ht="15.75" customHeight="1">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spans="1:26" ht="15.75" customHeight="1">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spans="1:26" ht="15.75" customHeight="1">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spans="1:26" ht="15.75" customHeight="1">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spans="1:26" ht="15.75" customHeight="1">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spans="1:26" ht="15.75" customHeight="1">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spans="1:26" ht="15.75" customHeight="1">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spans="1:26" ht="15.75" customHeight="1">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spans="1:26" ht="15.75" customHeight="1">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spans="1:26" ht="15.75" customHeight="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spans="1:26" ht="15.75" customHeight="1">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spans="1:26" ht="15.75" customHeight="1">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spans="1:26" ht="15.75" customHeight="1">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spans="1:26" ht="15.75" customHeight="1">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spans="1:26" ht="15.75" customHeight="1">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spans="1:26" ht="15.75" customHeight="1">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spans="1:26" ht="15.75" customHeight="1">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spans="1:26" ht="15.75" customHeight="1">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spans="1:26" ht="15.75" customHeight="1">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spans="1:26" ht="15.75" customHeight="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spans="1:26" ht="15.75" customHeight="1">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spans="1:26" ht="15.75" customHeight="1">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spans="1:26" ht="15.75" customHeight="1">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spans="1:26" ht="15.75" customHeight="1">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spans="1:26" ht="15.75" customHeight="1">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spans="1:26" ht="15.75" customHeight="1">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spans="1:26" ht="15.75" customHeight="1">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spans="1:26" ht="15.75" customHeight="1">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spans="1:26" ht="15.75" customHeight="1">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spans="1:26" ht="15.75" customHeight="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spans="1:26" ht="15.75" customHeight="1">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spans="1:26" ht="15.75" customHeight="1">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spans="1:26" ht="15.75" customHeight="1">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spans="1:26" ht="15.75" customHeight="1">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spans="1:26" ht="15.75" customHeight="1">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spans="1:26" ht="15.75" customHeight="1">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spans="1:26" ht="15.75" customHeight="1">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spans="1:26" ht="15.75" customHeight="1">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spans="1:26" ht="15.75" customHeight="1">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spans="1:26" ht="15.75" customHeight="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spans="1:26" ht="15.75" customHeight="1">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spans="1:26" ht="15.75" customHeight="1">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spans="1:26" ht="15.75" customHeight="1">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spans="1:26" ht="15.75" customHeight="1">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spans="1:26" ht="15.75" customHeight="1">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spans="1:26" ht="15.75" customHeight="1">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spans="1:26" ht="15.75" customHeight="1">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spans="1:26" ht="15.75" customHeight="1">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spans="1:26" ht="15.75" customHeight="1">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spans="1:26" ht="15.75" customHeight="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spans="1:26" ht="15.75" customHeight="1">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spans="1:26" ht="15.75" customHeight="1">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spans="1:26" ht="15.75" customHeight="1">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spans="1:26" ht="15.75" customHeight="1">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spans="1:26" ht="15.75" customHeight="1">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spans="1:26" ht="15.75" customHeight="1">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spans="1:26" ht="15.75" customHeight="1">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spans="1:26" ht="15.75" customHeight="1">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spans="1:26" ht="15.75" customHeight="1">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spans="1:26" ht="15.75" customHeight="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spans="1:26" ht="15.75" customHeight="1">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spans="1:26" ht="15.75" customHeight="1">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spans="1:26" ht="15.75" customHeight="1">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spans="1:26" ht="15.75" customHeight="1">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spans="1:26" ht="15.75" customHeight="1">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spans="1:26" ht="15.75" customHeight="1">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spans="1:26" ht="15.75" customHeight="1">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spans="1:26" ht="15.75" customHeight="1">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spans="1:26" ht="15.75" customHeight="1">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spans="1:26" ht="15.75" customHeight="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spans="1:26" ht="15.75" customHeight="1">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spans="1:26" ht="15.75" customHeight="1">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spans="1:26" ht="15.75" customHeight="1">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spans="1:26" ht="15.75" customHeight="1">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spans="1:26" ht="15.75" customHeight="1">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spans="1:26" ht="15.75" customHeight="1">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spans="1:26" ht="15.75" customHeight="1">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spans="1:26" ht="15.75" customHeight="1">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spans="1:26" ht="15.75" customHeight="1">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spans="1:26" ht="15.75" customHeight="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spans="1:26" ht="15.75" customHeight="1">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spans="1:26" ht="15.75" customHeight="1">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spans="1:26" ht="15.75" customHeight="1">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spans="1:26" ht="15.75" customHeight="1">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spans="1:26" ht="15.75" customHeight="1">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spans="1:26" ht="15.75" customHeight="1">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spans="1:26" ht="15.75" customHeight="1">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spans="1:26" ht="15.75" customHeight="1">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spans="1:26" ht="15.75" customHeight="1">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spans="1:26" ht="15.75" customHeight="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spans="1:26" ht="15.75" customHeight="1">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spans="1:26" ht="15.75" customHeight="1">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spans="1:26" ht="15.75" customHeight="1">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spans="1:26" ht="15.75" customHeight="1">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spans="1:26" ht="15.75" customHeight="1">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spans="1:26" ht="15.75" customHeight="1">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spans="1:26" ht="15.75" customHeight="1">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spans="1:26" ht="15.75" customHeight="1">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spans="1:26" ht="15.75" customHeight="1">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spans="1:26" ht="15.75" customHeight="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spans="1:26" ht="15.75" customHeight="1">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spans="1:26" ht="15.75" customHeight="1">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spans="1:26" ht="15.75" customHeight="1">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spans="1:26" ht="15.75" customHeight="1">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spans="1:26" ht="15.75" customHeight="1">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spans="1:26" ht="15.75" customHeight="1">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spans="1:26" ht="15.75" customHeight="1">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spans="1:26" ht="15.75" customHeight="1">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spans="1:26" ht="15.75" customHeight="1">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spans="1:26" ht="15.75" customHeight="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spans="1:26" ht="15.75" customHeight="1">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spans="1:26" ht="15.75" customHeight="1">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spans="1:26" ht="15.75" customHeight="1">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spans="1:26" ht="15.75" customHeight="1">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spans="1:26" ht="15.75" customHeight="1">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spans="1:26" ht="15.75" customHeight="1">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spans="1:26" ht="15.75" customHeight="1">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spans="1:26" ht="15.75" customHeight="1">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spans="1:26" ht="15.75" customHeight="1">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spans="1:26" ht="15.75" customHeight="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spans="1:26" ht="15.75" customHeight="1">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spans="1:26" ht="15.75" customHeight="1">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spans="1:26" ht="15.75" customHeight="1">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spans="1:26" ht="15.75" customHeight="1">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spans="1:26" ht="15.75" customHeight="1">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spans="1:26" ht="15.75" customHeight="1">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spans="1:26" ht="15.75" customHeight="1">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spans="1:26" ht="15.75" customHeight="1">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spans="1:26" ht="15.75" customHeight="1">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spans="1:26" ht="15.75" customHeight="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spans="1:26" ht="15.75" customHeight="1">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spans="1:26" ht="15.75" customHeight="1">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spans="1:26" ht="15.75" customHeight="1">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spans="1:26" ht="15.75" customHeight="1">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spans="1:26" ht="15.75" customHeight="1">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spans="1:26" ht="15.75" customHeight="1">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spans="1:26" ht="15.75" customHeight="1">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spans="1:26" ht="15.75" customHeight="1">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spans="1:26" ht="15.75" customHeight="1">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spans="1:26" ht="15.75" customHeight="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spans="1:26" ht="15.75" customHeight="1">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spans="1:26" ht="15.75" customHeight="1">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spans="1:26" ht="15.75" customHeight="1">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spans="1:26" ht="15.75" customHeight="1">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spans="1:26" ht="15.75" customHeight="1">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spans="1:26" ht="15.75" customHeight="1">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spans="1:26" ht="15.75" customHeight="1">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spans="1:26" ht="15.75" customHeight="1">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spans="1:26" ht="15.75" customHeight="1">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spans="1:26" ht="15.75" customHeight="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spans="1:26" ht="15.75" customHeight="1">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spans="1:26" ht="15.75" customHeight="1">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spans="1:26" ht="15.75" customHeight="1">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spans="1:26" ht="15.75" customHeight="1">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spans="1:26" ht="15.75" customHeight="1">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spans="1:26" ht="15.75" customHeight="1">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spans="1:26" ht="15.75" customHeight="1">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spans="1:26" ht="15.75" customHeight="1">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spans="1:26" ht="15.75" customHeight="1">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spans="1:26" ht="15.75" customHeight="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spans="1:26" ht="15.75" customHeight="1">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spans="1:26" ht="15.75" customHeight="1">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spans="1:26" ht="15.75" customHeight="1">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spans="1:26" ht="15.75" customHeight="1">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spans="1:26" ht="15.75" customHeight="1">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spans="1:26" ht="15.75" customHeight="1">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spans="1:26" ht="15.75" customHeight="1">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spans="1:26" ht="15.75" customHeight="1">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spans="1:26" ht="15.75" customHeight="1">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spans="1:26" ht="15.75" customHeight="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spans="1:26" ht="15.75" customHeight="1">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spans="1:26" ht="15.75" customHeight="1">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spans="1:26" ht="15.75" customHeight="1">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spans="1:26" ht="15.75" customHeight="1">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spans="1:26" ht="15.75" customHeight="1">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spans="1:26" ht="15.75" customHeight="1">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spans="1:26" ht="15.75" customHeight="1">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spans="1:26" ht="15.75" customHeight="1">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spans="1:26" ht="15.75" customHeight="1">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spans="1:26" ht="15.75" customHeight="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spans="1:26" ht="15.75" customHeight="1">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spans="1:26" ht="15.75" customHeight="1">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spans="1:26" ht="15.75" customHeight="1">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spans="1:26" ht="15.75" customHeight="1">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spans="1:26" ht="15.75" customHeight="1">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spans="1:26" ht="15.75" customHeight="1">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spans="1:26" ht="15.75" customHeight="1">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spans="1:26" ht="15.75" customHeight="1">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spans="1:26" ht="15.75" customHeight="1">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spans="1:26" ht="15.75" customHeight="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spans="1:26" ht="15.75" customHeight="1">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spans="1:26" ht="15.75" customHeight="1">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spans="1:26" ht="15.75" customHeight="1">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spans="1:26" ht="15.75" customHeight="1">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spans="1:26" ht="15.75" customHeight="1">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spans="1:26" ht="15.75" customHeight="1">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spans="1:26" ht="15.75" customHeight="1">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spans="1:26" ht="15.75" customHeight="1">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spans="1:26" ht="15.75" customHeight="1">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spans="1:26" ht="15.75" customHeight="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spans="1:26" ht="15.75" customHeight="1">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spans="1:26" ht="15.75" customHeight="1">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spans="1:26" ht="15.75" customHeight="1">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spans="1:26" ht="15.75" customHeight="1">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spans="1:26" ht="15.75" customHeight="1">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spans="1:26" ht="15.75" customHeight="1">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spans="1:26" ht="15.75" customHeight="1">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spans="1:26" ht="15.75" customHeight="1">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spans="1:26" ht="15.75" customHeight="1">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spans="1:26" ht="15.75" customHeight="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spans="1:26" ht="15.75" customHeight="1">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spans="1:26" ht="15.75" customHeight="1">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spans="1:26" ht="15.75" customHeight="1">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spans="1:26" ht="15.75" customHeight="1">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spans="1:26" ht="15.75" customHeight="1">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spans="1:26" ht="15.75" customHeight="1">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spans="1:26" ht="15.75" customHeight="1">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spans="1:26" ht="15.75" customHeight="1">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spans="1:26" ht="15.75" customHeight="1">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spans="1:26" ht="15.75" customHeight="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spans="1:26" ht="15.75" customHeight="1">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spans="1:26" ht="15.75" customHeight="1">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spans="1:26" ht="15.75" customHeight="1">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spans="1:26" ht="15.75" customHeight="1">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spans="1:26" ht="15.75" customHeight="1">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spans="1:26" ht="15.75" customHeight="1">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spans="1:26" ht="15.75" customHeight="1">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spans="1:26" ht="15.75" customHeight="1">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spans="1:26" ht="15.75" customHeight="1">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spans="1:26" ht="15.75" customHeight="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spans="1:26" ht="15.75" customHeight="1">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spans="1:26" ht="15.75" customHeight="1">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spans="1:26" ht="15.75" customHeight="1">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spans="1:26" ht="15.75" customHeight="1">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spans="1:26" ht="15.75" customHeight="1">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spans="1:26" ht="15.75" customHeight="1">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spans="1:26" ht="15.75" customHeight="1">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spans="1:26" ht="15.75" customHeight="1">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spans="1:26" ht="15.75" customHeight="1">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spans="1:26" ht="15.75" customHeight="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spans="1:26" ht="15.75" customHeight="1">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spans="1:26" ht="15.75" customHeight="1">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spans="1:26" ht="15.75" customHeight="1">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spans="1:26" ht="15.75" customHeight="1">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spans="1:26" ht="15.75" customHeight="1">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spans="1:26" ht="15.75" customHeight="1">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spans="1:26" ht="15.75" customHeight="1">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spans="1:26" ht="15.75" customHeight="1">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spans="1:26" ht="15.75" customHeight="1">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spans="1:26" ht="15.75" customHeight="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spans="1:26" ht="15.75" customHeight="1">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spans="1:26" ht="15.75" customHeight="1">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spans="1:26" ht="15.75" customHeight="1">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spans="1:26" ht="15.75" customHeight="1">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spans="1:26" ht="15.75" customHeight="1">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spans="1:26" ht="15.75" customHeight="1">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spans="1:26" ht="15.75" customHeight="1">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spans="1:26" ht="15.75" customHeight="1">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spans="1:26" ht="15.75" customHeight="1">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spans="1:26" ht="15.75" customHeight="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spans="1:26" ht="15.75" customHeight="1">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spans="1:26" ht="15.75" customHeight="1">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spans="1:26" ht="15.75" customHeight="1">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spans="1:26" ht="15.75" customHeight="1">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spans="1:26" ht="15.75" customHeight="1">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spans="1:26" ht="15.75" customHeight="1">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spans="1:26" ht="15.75" customHeight="1">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spans="1:26" ht="15.75" customHeight="1">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spans="1:26" ht="15.75" customHeight="1">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spans="1:26" ht="15.75" customHeight="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spans="1:26" ht="15.75" customHeight="1">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spans="1:26" ht="15.75" customHeight="1">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spans="1:26" ht="15.75" customHeight="1">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spans="1:26" ht="15.75" customHeight="1">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spans="1:26" ht="15.75" customHeight="1">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spans="1:26" ht="15.75" customHeight="1">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spans="1:26" ht="15.75" customHeight="1">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spans="1:26" ht="15.75" customHeight="1">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spans="1:26" ht="15.75" customHeight="1">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spans="1:26" ht="15.75" customHeight="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spans="1:26" ht="15.75" customHeight="1">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spans="1:26" ht="15.75" customHeight="1">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spans="1:26" ht="15.75" customHeight="1">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spans="1:26" ht="15.75" customHeight="1">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spans="1:26" ht="15.75" customHeight="1">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spans="1:26" ht="15.75" customHeight="1">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spans="1:26" ht="15.75" customHeight="1">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spans="1:26" ht="15.75" customHeight="1">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spans="1:26" ht="15.75" customHeight="1">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spans="1:26" ht="15.75" customHeight="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spans="1:26" ht="15.75" customHeight="1">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spans="1:26" ht="15.75" customHeight="1">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spans="1:26" ht="15.75" customHeight="1">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spans="1:26" ht="15.75" customHeight="1">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spans="1:26" ht="15.75" customHeight="1">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spans="1:26" ht="15.75" customHeight="1">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spans="1:26" ht="15.75" customHeight="1">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spans="1:26" ht="15.75" customHeight="1">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spans="1:26" ht="15.75" customHeight="1">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spans="1:26" ht="15.75" customHeight="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spans="1:26" ht="15.75" customHeight="1">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spans="1:26" ht="15.75" customHeight="1">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spans="1:26" ht="15.75" customHeight="1">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spans="1:26" ht="15.75" customHeight="1">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spans="1:26" ht="15.75" customHeight="1">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spans="1:26" ht="15.75" customHeight="1">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spans="1:26" ht="15.75" customHeight="1">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spans="1:26" ht="15.75" customHeight="1">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spans="1:26" ht="15.75" customHeight="1">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spans="1:26" ht="15.75" customHeight="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spans="1:26" ht="15.75" customHeight="1">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spans="1:26" ht="15.75" customHeight="1">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spans="1:26" ht="15.75" customHeight="1">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spans="1:26" ht="15.75" customHeight="1">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spans="1:26" ht="15.75" customHeight="1">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spans="1:26" ht="15.75" customHeight="1">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spans="1:26" ht="15.75" customHeight="1">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spans="1:26" ht="15.75" customHeight="1">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spans="1:26" ht="15.75" customHeight="1">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spans="1:26" ht="15.75" customHeight="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spans="1:26" ht="15.75" customHeight="1">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spans="1:26" ht="15.75" customHeight="1">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spans="1:26" ht="15.75" customHeight="1">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spans="1:26" ht="15.75" customHeight="1">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spans="1:26" ht="15.75" customHeight="1">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spans="1:26" ht="15.75" customHeight="1">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spans="1:26" ht="15.75" customHeight="1">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spans="1:26" ht="15.75" customHeight="1">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spans="1:26" ht="15.75" customHeight="1">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spans="1:26" ht="15.75" customHeight="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spans="1:26" ht="15.75" customHeight="1">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spans="1:26" ht="15.75" customHeight="1">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spans="1:26" ht="15.75" customHeight="1">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spans="1:26" ht="15.75" customHeight="1">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spans="1:26" ht="15.75" customHeight="1">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spans="1:26" ht="15.75" customHeight="1">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spans="1:26" ht="15.75" customHeight="1">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spans="1:26" ht="15.75" customHeight="1">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spans="1:26" ht="15.75" customHeight="1">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spans="1:26" ht="15.75" customHeight="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spans="1:26" ht="15.75" customHeight="1">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spans="1:26" ht="15.75" customHeight="1">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spans="1:26" ht="15.75" customHeight="1">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spans="1:26" ht="15.75" customHeight="1">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spans="1:26" ht="15.75" customHeight="1">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spans="1:26" ht="15.75" customHeight="1">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spans="1:26" ht="15.75" customHeight="1">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spans="1:26" ht="15.75" customHeight="1">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spans="1:26" ht="15.75" customHeight="1">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spans="1:26" ht="15.75" customHeight="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spans="1:26" ht="15.75" customHeight="1">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spans="1:26" ht="15.75" customHeight="1">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spans="1:26" ht="15.75" customHeight="1">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spans="1:26" ht="15.75" customHeight="1">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spans="1:26" ht="15.75" customHeight="1">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spans="1:26" ht="15.75" customHeight="1">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spans="1:26" ht="15.75" customHeight="1">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spans="1:26" ht="15.75" customHeight="1">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spans="1:26" ht="15.75" customHeight="1">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spans="1:26" ht="15.75" customHeight="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spans="1:26" ht="15.75" customHeight="1">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spans="1:26" ht="15.75" customHeight="1">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spans="1:26" ht="15.75" customHeight="1">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spans="1:26" ht="15.75" customHeight="1">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spans="1:26" ht="15.75" customHeight="1">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spans="1:26" ht="15.75" customHeight="1">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spans="1:26" ht="15.75" customHeight="1">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spans="1:26" ht="15.75" customHeight="1">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spans="1:26" ht="15.75" customHeight="1">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spans="1:26" ht="15.75" customHeight="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spans="1:26" ht="15.75" customHeight="1">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spans="1:26" ht="15.75" customHeight="1">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spans="1:26" ht="15.75" customHeight="1">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spans="1:26" ht="15.75" customHeight="1">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spans="1:26" ht="15.75" customHeight="1">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spans="1:26" ht="15.75" customHeight="1">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spans="1:26" ht="15.75" customHeight="1">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spans="1:26" ht="15.75" customHeight="1">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spans="1:26" ht="15.75" customHeight="1">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spans="1:26" ht="15.75" customHeight="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spans="1:26" ht="15.75" customHeight="1">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spans="1:26" ht="15.75" customHeight="1">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spans="1:26" ht="15.75" customHeight="1">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spans="1:26" ht="15.75" customHeight="1">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spans="1:26" ht="15.75" customHeight="1">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spans="1:26" ht="15.75" customHeight="1">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spans="1:26" ht="15.75" customHeight="1">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spans="1:26" ht="15.75" customHeight="1">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spans="1:26" ht="15.75" customHeight="1">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spans="1:26" ht="15.75" customHeight="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spans="1:26" ht="15.75" customHeight="1">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spans="1:26" ht="15.75" customHeight="1">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spans="1:26" ht="15.75" customHeight="1">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spans="1:26" ht="15.75" customHeight="1">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spans="1:26" ht="15.75" customHeight="1">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spans="1:26" ht="15.75" customHeight="1">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spans="1:26" ht="15.75" customHeight="1">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spans="1:26" ht="15.75" customHeight="1">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spans="1:26" ht="15.75" customHeight="1">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spans="1:26" ht="15.75" customHeight="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spans="1:26" ht="15.75" customHeight="1">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spans="1:26" ht="15.75" customHeight="1">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spans="1:26" ht="15.75" customHeight="1">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spans="1:26" ht="15.75" customHeight="1">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spans="1:26" ht="15.75" customHeight="1">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spans="1:26" ht="15.75" customHeight="1">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spans="1:26" ht="15.75" customHeight="1">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spans="1:26" ht="15.75" customHeight="1">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spans="1:26" ht="15.75" customHeight="1">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spans="1:26" ht="15.75" customHeight="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spans="1:26" ht="15.75" customHeight="1">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spans="1:26" ht="15.75" customHeight="1">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spans="1:26" ht="15.75" customHeight="1">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spans="1:26" ht="15.75" customHeight="1">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spans="1:26" ht="15.75" customHeight="1">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spans="1:26" ht="15.75" customHeight="1">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spans="1:26" ht="15.75" customHeight="1">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spans="1:26" ht="15.75" customHeight="1">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spans="1:26" ht="15.75" customHeight="1">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spans="1:26" ht="15.75" customHeight="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spans="1:26" ht="15.75" customHeight="1">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spans="1:26" ht="15.75" customHeight="1">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spans="1:26" ht="15.75" customHeight="1">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spans="1:26" ht="15.75" customHeight="1">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spans="1:26" ht="15.75" customHeight="1">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spans="1:26" ht="15.75" customHeight="1">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spans="1:26" ht="15.75" customHeight="1">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spans="1:26" ht="15.75" customHeight="1">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spans="1:26" ht="15.75" customHeight="1">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spans="1:26" ht="15.75" customHeight="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spans="1:26" ht="15.75" customHeight="1">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spans="1:26" ht="15.75" customHeight="1">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spans="1:26" ht="15.75" customHeight="1">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spans="1:26" ht="15.75" customHeight="1">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spans="1:26" ht="15.75" customHeight="1">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spans="1:26" ht="15.75" customHeight="1">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spans="1:26" ht="15.75" customHeight="1">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spans="1:26" ht="15.75" customHeight="1">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spans="1:26" ht="15.75" customHeight="1">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spans="1:26" ht="15.75" customHeight="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spans="1:26" ht="15.75" customHeight="1">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spans="1:26" ht="15.75" customHeight="1">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spans="1:26" ht="15.75" customHeight="1">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spans="1:26" ht="15.75" customHeight="1">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spans="1:26" ht="15.75" customHeight="1">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spans="1:26" ht="15.75" customHeight="1">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spans="1:26" ht="15.75" customHeight="1">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spans="1:26" ht="15.75" customHeight="1">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spans="1:26" ht="15.75" customHeight="1">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spans="1:26" ht="15.75" customHeight="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spans="1:26" ht="15.75" customHeight="1">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spans="1:26" ht="15.75" customHeight="1">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spans="1:26" ht="15.75" customHeight="1">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spans="1:26" ht="15.75" customHeight="1">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spans="1:26" ht="15.75" customHeight="1">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spans="1:26" ht="15.75" customHeight="1">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spans="1:26" ht="15.75" customHeight="1">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spans="1:26" ht="15.75" customHeight="1">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spans="1:26" ht="15.75" customHeight="1">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spans="1:26" ht="15.75" customHeight="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spans="1:26" ht="15.75" customHeight="1">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spans="1:26" ht="15.75" customHeight="1">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spans="1:26" ht="15.75" customHeight="1">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sheetData>
  <mergeCells count="1">
    <mergeCell ref="B1:D3"/>
  </mergeCells>
  <hyperlinks>
    <hyperlink ref="B9" location="'Cover Page'!A1" display="Cover Page" xr:uid="{C9E44308-2AA6-4545-BAB7-A749A569689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0768C-112E-3D44-BED4-E52F93984C90}">
  <sheetPr>
    <tabColor theme="9" tint="0.79998168889431442"/>
  </sheetPr>
  <dimension ref="A1:H64"/>
  <sheetViews>
    <sheetView zoomScale="78" workbookViewId="0">
      <selection activeCell="H5" sqref="H5"/>
    </sheetView>
  </sheetViews>
  <sheetFormatPr defaultColWidth="10.85546875" defaultRowHeight="15"/>
  <cols>
    <col min="1" max="1" width="88.5703125" bestFit="1" customWidth="1"/>
    <col min="2" max="2" width="14.7109375" customWidth="1"/>
    <col min="3" max="3" width="39.42578125" customWidth="1"/>
    <col min="8" max="8" width="28.85546875" customWidth="1"/>
  </cols>
  <sheetData>
    <row r="1" spans="1:8" ht="15.75" thickBot="1">
      <c r="A1" s="75" t="s">
        <v>13</v>
      </c>
      <c r="B1" s="75" t="s">
        <v>62</v>
      </c>
      <c r="C1" s="77" t="s">
        <v>63</v>
      </c>
    </row>
    <row r="2" spans="1:8" ht="48" customHeight="1">
      <c r="A2" s="66" t="s">
        <v>64</v>
      </c>
      <c r="B2" s="67">
        <v>8</v>
      </c>
      <c r="C2" s="106" t="s">
        <v>65</v>
      </c>
      <c r="G2" s="104" t="s">
        <v>66</v>
      </c>
      <c r="H2" s="105"/>
    </row>
    <row r="3" spans="1:8">
      <c r="A3" s="66" t="s">
        <v>67</v>
      </c>
      <c r="B3" s="67">
        <v>3</v>
      </c>
      <c r="C3" s="106"/>
      <c r="G3" s="69"/>
      <c r="H3" s="70" t="s">
        <v>68</v>
      </c>
    </row>
    <row r="4" spans="1:8" ht="30">
      <c r="A4" s="68" t="s">
        <v>69</v>
      </c>
      <c r="B4" s="67">
        <v>5</v>
      </c>
      <c r="C4" s="76" t="s">
        <v>70</v>
      </c>
      <c r="G4" s="71"/>
      <c r="H4" s="70" t="s">
        <v>71</v>
      </c>
    </row>
    <row r="5" spans="1:8" ht="15.75" thickBot="1">
      <c r="A5" s="67" t="s">
        <v>72</v>
      </c>
      <c r="B5" s="67">
        <v>0</v>
      </c>
      <c r="G5" s="72"/>
      <c r="H5" s="73" t="s">
        <v>72</v>
      </c>
    </row>
    <row r="6" spans="1:8">
      <c r="A6" s="67"/>
      <c r="B6" s="67"/>
    </row>
    <row r="7" spans="1:8">
      <c r="A7" s="74" t="s">
        <v>73</v>
      </c>
      <c r="B7" s="67"/>
    </row>
    <row r="8" spans="1:8" ht="60">
      <c r="A8" s="66" t="s">
        <v>74</v>
      </c>
      <c r="B8" s="67">
        <v>1</v>
      </c>
      <c r="C8" s="76" t="s">
        <v>65</v>
      </c>
    </row>
    <row r="9" spans="1:8" ht="30">
      <c r="A9" s="68" t="s">
        <v>69</v>
      </c>
      <c r="B9" s="67">
        <v>12</v>
      </c>
      <c r="C9" s="76" t="s">
        <v>70</v>
      </c>
    </row>
    <row r="10" spans="1:8">
      <c r="A10" s="67" t="s">
        <v>72</v>
      </c>
      <c r="B10" s="67">
        <v>0</v>
      </c>
      <c r="G10" t="s">
        <v>75</v>
      </c>
      <c r="H10">
        <v>16</v>
      </c>
    </row>
    <row r="11" spans="1:8">
      <c r="A11" s="67"/>
      <c r="B11" s="67"/>
    </row>
    <row r="12" spans="1:8">
      <c r="A12" s="74" t="s">
        <v>19</v>
      </c>
      <c r="B12" s="67"/>
    </row>
    <row r="13" spans="1:8" ht="60">
      <c r="A13" s="66" t="s">
        <v>19</v>
      </c>
      <c r="B13" s="67">
        <v>9</v>
      </c>
      <c r="C13" s="76" t="s">
        <v>65</v>
      </c>
    </row>
    <row r="14" spans="1:8" ht="30">
      <c r="A14" s="68" t="s">
        <v>69</v>
      </c>
      <c r="B14" s="67">
        <v>4</v>
      </c>
      <c r="C14" s="76" t="s">
        <v>70</v>
      </c>
    </row>
    <row r="15" spans="1:8">
      <c r="A15" s="67" t="s">
        <v>72</v>
      </c>
      <c r="B15" s="67">
        <v>0</v>
      </c>
    </row>
    <row r="16" spans="1:8">
      <c r="A16" s="67"/>
      <c r="B16" s="67"/>
    </row>
    <row r="17" spans="1:3">
      <c r="A17" s="74" t="s">
        <v>76</v>
      </c>
      <c r="B17" s="67"/>
    </row>
    <row r="18" spans="1:3" ht="60">
      <c r="A18" s="66" t="s">
        <v>76</v>
      </c>
      <c r="B18" s="67">
        <v>2</v>
      </c>
      <c r="C18" s="76" t="s">
        <v>65</v>
      </c>
    </row>
    <row r="19" spans="1:3" ht="30">
      <c r="A19" s="68" t="s">
        <v>69</v>
      </c>
      <c r="B19" s="67">
        <v>14</v>
      </c>
      <c r="C19" s="76" t="s">
        <v>70</v>
      </c>
    </row>
    <row r="20" spans="1:3">
      <c r="A20" s="67" t="s">
        <v>72</v>
      </c>
      <c r="B20" s="67">
        <v>0</v>
      </c>
    </row>
    <row r="21" spans="1:3">
      <c r="A21" s="67"/>
      <c r="B21" s="67"/>
    </row>
    <row r="22" spans="1:3">
      <c r="A22" s="74" t="s">
        <v>77</v>
      </c>
      <c r="B22" s="67"/>
    </row>
    <row r="23" spans="1:3" ht="30">
      <c r="A23" s="68" t="s">
        <v>69</v>
      </c>
      <c r="B23" s="67">
        <v>1</v>
      </c>
      <c r="C23" s="76" t="s">
        <v>70</v>
      </c>
    </row>
    <row r="24" spans="1:3">
      <c r="A24" s="67" t="s">
        <v>72</v>
      </c>
      <c r="B24" s="67">
        <v>0</v>
      </c>
    </row>
    <row r="25" spans="1:3">
      <c r="A25" s="67"/>
      <c r="B25" s="67"/>
    </row>
    <row r="26" spans="1:3">
      <c r="A26" s="74" t="s">
        <v>78</v>
      </c>
      <c r="B26" s="67"/>
    </row>
    <row r="27" spans="1:3" ht="60">
      <c r="A27" s="66" t="s">
        <v>79</v>
      </c>
      <c r="B27" s="67">
        <v>2</v>
      </c>
      <c r="C27" s="76" t="s">
        <v>65</v>
      </c>
    </row>
    <row r="28" spans="1:3" ht="30">
      <c r="A28" s="68" t="s">
        <v>69</v>
      </c>
      <c r="B28" s="67">
        <v>10</v>
      </c>
      <c r="C28" s="76" t="s">
        <v>70</v>
      </c>
    </row>
    <row r="29" spans="1:3">
      <c r="A29" s="67" t="s">
        <v>72</v>
      </c>
      <c r="B29" s="67">
        <v>0</v>
      </c>
    </row>
    <row r="30" spans="1:3">
      <c r="A30" s="67"/>
      <c r="B30" s="67"/>
    </row>
    <row r="31" spans="1:3">
      <c r="A31" s="74" t="s">
        <v>32</v>
      </c>
      <c r="B31" s="67"/>
    </row>
    <row r="32" spans="1:3" ht="60">
      <c r="A32" s="66" t="s">
        <v>80</v>
      </c>
      <c r="B32" s="67">
        <v>9</v>
      </c>
      <c r="C32" s="76" t="s">
        <v>65</v>
      </c>
    </row>
    <row r="33" spans="1:3" ht="30">
      <c r="A33" s="68" t="s">
        <v>69</v>
      </c>
      <c r="B33" s="67">
        <v>0</v>
      </c>
      <c r="C33" s="76" t="s">
        <v>70</v>
      </c>
    </row>
    <row r="34" spans="1:3">
      <c r="A34" s="67" t="s">
        <v>72</v>
      </c>
      <c r="B34" s="67">
        <v>3</v>
      </c>
    </row>
    <row r="35" spans="1:3">
      <c r="A35" s="67"/>
      <c r="B35" s="67"/>
    </row>
    <row r="36" spans="1:3">
      <c r="A36" s="74" t="s">
        <v>35</v>
      </c>
      <c r="B36" s="67"/>
    </row>
    <row r="37" spans="1:3" ht="48" customHeight="1">
      <c r="A37" s="66" t="s">
        <v>81</v>
      </c>
      <c r="B37" s="67">
        <v>2</v>
      </c>
      <c r="C37" s="107" t="s">
        <v>65</v>
      </c>
    </row>
    <row r="38" spans="1:3">
      <c r="A38" s="66" t="s">
        <v>82</v>
      </c>
      <c r="B38" s="67">
        <v>1</v>
      </c>
      <c r="C38" s="107"/>
    </row>
    <row r="39" spans="1:3">
      <c r="A39" s="66" t="s">
        <v>83</v>
      </c>
      <c r="B39" s="67">
        <v>3</v>
      </c>
      <c r="C39" s="107"/>
    </row>
    <row r="40" spans="1:3" ht="30">
      <c r="A40" s="68" t="s">
        <v>69</v>
      </c>
      <c r="B40" s="67">
        <v>0</v>
      </c>
      <c r="C40" s="76" t="s">
        <v>70</v>
      </c>
    </row>
    <row r="41" spans="1:3">
      <c r="A41" s="67" t="s">
        <v>72</v>
      </c>
      <c r="B41" s="67">
        <v>3</v>
      </c>
    </row>
    <row r="42" spans="1:3">
      <c r="A42" s="67"/>
      <c r="B42" s="67"/>
    </row>
    <row r="43" spans="1:3">
      <c r="A43" s="74" t="s">
        <v>37</v>
      </c>
      <c r="B43" s="67"/>
    </row>
    <row r="44" spans="1:3" ht="60">
      <c r="A44" s="66" t="s">
        <v>84</v>
      </c>
      <c r="B44" s="67">
        <v>1</v>
      </c>
      <c r="C44" s="76" t="s">
        <v>65</v>
      </c>
    </row>
    <row r="45" spans="1:3" ht="30">
      <c r="A45" s="68" t="s">
        <v>69</v>
      </c>
      <c r="B45" s="67">
        <v>6</v>
      </c>
      <c r="C45" s="76" t="s">
        <v>70</v>
      </c>
    </row>
    <row r="46" spans="1:3">
      <c r="A46" s="67" t="s">
        <v>72</v>
      </c>
      <c r="B46" s="67">
        <v>0</v>
      </c>
    </row>
    <row r="47" spans="1:3">
      <c r="A47" s="67"/>
      <c r="B47" s="67"/>
    </row>
    <row r="48" spans="1:3">
      <c r="A48" s="74" t="s">
        <v>42</v>
      </c>
      <c r="B48" s="67"/>
    </row>
    <row r="49" spans="1:3" ht="48" customHeight="1">
      <c r="A49" s="66" t="s">
        <v>85</v>
      </c>
      <c r="B49" s="67">
        <v>2</v>
      </c>
      <c r="C49" s="106" t="s">
        <v>65</v>
      </c>
    </row>
    <row r="50" spans="1:3">
      <c r="A50" s="66" t="s">
        <v>86</v>
      </c>
      <c r="B50" s="67">
        <v>1</v>
      </c>
      <c r="C50" s="106"/>
    </row>
    <row r="51" spans="1:3" ht="30">
      <c r="A51" s="68" t="s">
        <v>69</v>
      </c>
      <c r="B51" s="67">
        <v>0</v>
      </c>
      <c r="C51" s="76" t="s">
        <v>70</v>
      </c>
    </row>
    <row r="52" spans="1:3">
      <c r="A52" s="67" t="s">
        <v>72</v>
      </c>
      <c r="B52" s="67">
        <v>7</v>
      </c>
    </row>
    <row r="53" spans="1:3">
      <c r="A53" s="67"/>
      <c r="B53" s="67"/>
    </row>
    <row r="54" spans="1:3">
      <c r="A54" s="74" t="s">
        <v>39</v>
      </c>
      <c r="B54" s="67"/>
    </row>
    <row r="55" spans="1:3" ht="15" customHeight="1">
      <c r="A55" s="66" t="s">
        <v>87</v>
      </c>
      <c r="B55" s="67">
        <v>3</v>
      </c>
      <c r="C55" s="106" t="s">
        <v>65</v>
      </c>
    </row>
    <row r="56" spans="1:3">
      <c r="A56" s="66" t="s">
        <v>88</v>
      </c>
      <c r="B56" s="67">
        <v>2</v>
      </c>
      <c r="C56" s="106"/>
    </row>
    <row r="57" spans="1:3">
      <c r="A57" s="66" t="s">
        <v>89</v>
      </c>
      <c r="B57" s="67">
        <v>6</v>
      </c>
      <c r="C57" s="106"/>
    </row>
    <row r="58" spans="1:3" ht="30">
      <c r="A58" s="68" t="s">
        <v>69</v>
      </c>
      <c r="B58" s="67">
        <v>1</v>
      </c>
      <c r="C58" s="76" t="s">
        <v>70</v>
      </c>
    </row>
    <row r="59" spans="1:3">
      <c r="A59" s="67" t="s">
        <v>72</v>
      </c>
      <c r="B59" s="67">
        <v>9</v>
      </c>
    </row>
    <row r="60" spans="1:3">
      <c r="A60" s="67"/>
      <c r="B60" s="67"/>
    </row>
    <row r="61" spans="1:3">
      <c r="A61" s="74" t="s">
        <v>90</v>
      </c>
      <c r="B61" s="67"/>
    </row>
    <row r="62" spans="1:3" ht="60">
      <c r="A62" s="66"/>
      <c r="B62" s="67">
        <v>0</v>
      </c>
      <c r="C62" s="76" t="s">
        <v>65</v>
      </c>
    </row>
    <row r="63" spans="1:3" ht="30">
      <c r="A63" s="68" t="s">
        <v>69</v>
      </c>
      <c r="B63" s="67">
        <v>9</v>
      </c>
      <c r="C63" s="76" t="s">
        <v>70</v>
      </c>
    </row>
    <row r="64" spans="1:3">
      <c r="A64" s="67" t="s">
        <v>72</v>
      </c>
      <c r="B64" s="67">
        <v>6</v>
      </c>
    </row>
  </sheetData>
  <mergeCells count="5">
    <mergeCell ref="G2:H2"/>
    <mergeCell ref="C2:C3"/>
    <mergeCell ref="C37:C39"/>
    <mergeCell ref="C49:C50"/>
    <mergeCell ref="C55:C57"/>
  </mergeCells>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F8B38-0C6F-42B2-A07E-44EA1373C2A1}">
  <sheetPr>
    <tabColor theme="9" tint="0.79998168889431442"/>
  </sheetPr>
  <dimension ref="A1:M17"/>
  <sheetViews>
    <sheetView topLeftCell="A12" zoomScaleNormal="160" workbookViewId="0">
      <selection activeCell="E25" sqref="E25"/>
    </sheetView>
  </sheetViews>
  <sheetFormatPr defaultColWidth="8.5703125" defaultRowHeight="15"/>
  <cols>
    <col min="1" max="1" width="13.42578125" style="2" customWidth="1"/>
    <col min="2" max="2" width="34.5703125" style="2" customWidth="1"/>
    <col min="3" max="3" width="22.42578125" style="2" bestFit="1" customWidth="1"/>
    <col min="4" max="4" width="37.140625" style="2" customWidth="1"/>
    <col min="5" max="5" width="80.5703125" style="2" customWidth="1"/>
    <col min="6" max="6" width="56.85546875" style="2" customWidth="1"/>
    <col min="7" max="7" width="27.42578125" style="2" customWidth="1"/>
    <col min="8" max="8" width="38.5703125" style="2" customWidth="1"/>
    <col min="9" max="9" width="89" style="2" customWidth="1"/>
    <col min="10" max="10" width="13.5703125" style="2" customWidth="1"/>
    <col min="11" max="11" width="14.85546875" style="2" customWidth="1"/>
    <col min="12" max="13" width="24.85546875" style="2" customWidth="1"/>
    <col min="14" max="16384" width="8.5703125" style="2"/>
  </cols>
  <sheetData>
    <row r="1" spans="1:13" s="93" customFormat="1" ht="29.25">
      <c r="A1" s="88" t="s">
        <v>91</v>
      </c>
      <c r="B1" s="88" t="s">
        <v>92</v>
      </c>
      <c r="C1" s="88" t="s">
        <v>93</v>
      </c>
      <c r="D1" s="88" t="s">
        <v>94</v>
      </c>
      <c r="E1" s="88" t="s">
        <v>95</v>
      </c>
      <c r="F1" s="88" t="s">
        <v>96</v>
      </c>
      <c r="G1" s="89" t="s">
        <v>97</v>
      </c>
      <c r="H1" s="89" t="s">
        <v>98</v>
      </c>
      <c r="I1" s="90" t="s">
        <v>99</v>
      </c>
      <c r="J1" s="91" t="s">
        <v>100</v>
      </c>
      <c r="K1" s="92" t="s">
        <v>101</v>
      </c>
      <c r="L1" s="92" t="s">
        <v>102</v>
      </c>
      <c r="M1" s="92" t="s">
        <v>103</v>
      </c>
    </row>
    <row r="2" spans="1:13" ht="81" customHeight="1">
      <c r="A2" s="4" t="s">
        <v>104</v>
      </c>
      <c r="B2" s="7" t="s">
        <v>105</v>
      </c>
      <c r="C2" s="4" t="s">
        <v>106</v>
      </c>
      <c r="D2" s="1" t="s">
        <v>107</v>
      </c>
      <c r="E2" s="5" t="s">
        <v>108</v>
      </c>
      <c r="F2" s="57" t="s">
        <v>109</v>
      </c>
      <c r="G2" s="3" t="s">
        <v>110</v>
      </c>
      <c r="H2" s="1" t="s">
        <v>111</v>
      </c>
      <c r="I2" s="81" t="s">
        <v>112</v>
      </c>
      <c r="J2" s="84" t="s">
        <v>113</v>
      </c>
      <c r="K2" s="80"/>
      <c r="L2" s="80"/>
      <c r="M2" s="80"/>
    </row>
    <row r="3" spans="1:13" ht="66.75" customHeight="1">
      <c r="A3" s="4" t="s">
        <v>104</v>
      </c>
      <c r="B3" s="7" t="s">
        <v>105</v>
      </c>
      <c r="C3" s="4" t="s">
        <v>114</v>
      </c>
      <c r="D3" s="1" t="s">
        <v>115</v>
      </c>
      <c r="E3" s="5" t="s">
        <v>116</v>
      </c>
      <c r="F3" s="57" t="s">
        <v>117</v>
      </c>
      <c r="G3" s="3" t="s">
        <v>110</v>
      </c>
      <c r="H3" s="3" t="s">
        <v>53</v>
      </c>
      <c r="I3" s="81" t="s">
        <v>118</v>
      </c>
      <c r="J3" s="84" t="s">
        <v>113</v>
      </c>
      <c r="K3" s="80"/>
      <c r="L3" s="80"/>
      <c r="M3" s="80"/>
    </row>
    <row r="4" spans="1:13" ht="44.25" customHeight="1">
      <c r="A4" s="4" t="s">
        <v>104</v>
      </c>
      <c r="B4" s="7" t="s">
        <v>105</v>
      </c>
      <c r="C4" s="4" t="s">
        <v>119</v>
      </c>
      <c r="D4" s="1" t="s">
        <v>120</v>
      </c>
      <c r="E4" s="5" t="s">
        <v>121</v>
      </c>
      <c r="F4" s="57" t="s">
        <v>122</v>
      </c>
      <c r="G4" s="3" t="s">
        <v>123</v>
      </c>
      <c r="H4" s="3" t="s">
        <v>53</v>
      </c>
      <c r="I4" s="81" t="s">
        <v>124</v>
      </c>
      <c r="J4" s="84" t="s">
        <v>113</v>
      </c>
      <c r="K4" s="80"/>
      <c r="L4" s="80"/>
      <c r="M4" s="80"/>
    </row>
    <row r="5" spans="1:13" ht="44.25" customHeight="1">
      <c r="A5" s="4" t="s">
        <v>104</v>
      </c>
      <c r="B5" s="7" t="s">
        <v>105</v>
      </c>
      <c r="C5" s="4" t="s">
        <v>125</v>
      </c>
      <c r="D5" s="1" t="s">
        <v>126</v>
      </c>
      <c r="E5" s="5" t="s">
        <v>127</v>
      </c>
      <c r="F5" s="57" t="s">
        <v>128</v>
      </c>
      <c r="G5" s="3" t="s">
        <v>110</v>
      </c>
      <c r="H5" s="3" t="s">
        <v>53</v>
      </c>
      <c r="I5" s="82" t="s">
        <v>129</v>
      </c>
      <c r="J5" s="84" t="s">
        <v>113</v>
      </c>
      <c r="K5" s="80"/>
      <c r="L5" s="80"/>
      <c r="M5" s="80"/>
    </row>
    <row r="6" spans="1:13" ht="44.25" customHeight="1">
      <c r="A6" s="4" t="s">
        <v>130</v>
      </c>
      <c r="B6" s="7" t="s">
        <v>131</v>
      </c>
      <c r="C6" s="4" t="s">
        <v>132</v>
      </c>
      <c r="D6" s="1" t="s">
        <v>133</v>
      </c>
      <c r="E6" s="5" t="s">
        <v>134</v>
      </c>
      <c r="F6" s="57" t="s">
        <v>135</v>
      </c>
      <c r="G6" s="3" t="s">
        <v>110</v>
      </c>
      <c r="H6" s="3" t="s">
        <v>53</v>
      </c>
      <c r="I6" s="82" t="s">
        <v>136</v>
      </c>
      <c r="J6" s="84" t="s">
        <v>113</v>
      </c>
      <c r="K6" s="80"/>
      <c r="L6" s="80"/>
      <c r="M6" s="80"/>
    </row>
    <row r="7" spans="1:13" ht="59.1" customHeight="1">
      <c r="A7" s="4" t="s">
        <v>130</v>
      </c>
      <c r="B7" s="7" t="s">
        <v>131</v>
      </c>
      <c r="C7" s="4" t="s">
        <v>137</v>
      </c>
      <c r="D7" s="1" t="s">
        <v>138</v>
      </c>
      <c r="E7" s="5" t="s">
        <v>139</v>
      </c>
      <c r="F7" s="57"/>
      <c r="G7" s="3" t="s">
        <v>110</v>
      </c>
      <c r="H7" s="12" t="s">
        <v>140</v>
      </c>
      <c r="I7" s="82" t="s">
        <v>141</v>
      </c>
      <c r="J7" s="84" t="s">
        <v>113</v>
      </c>
      <c r="K7" s="80"/>
      <c r="L7" s="80"/>
      <c r="M7" s="80"/>
    </row>
    <row r="8" spans="1:13" ht="57.75" customHeight="1">
      <c r="A8" s="4" t="s">
        <v>130</v>
      </c>
      <c r="B8" s="7" t="s">
        <v>131</v>
      </c>
      <c r="C8" s="4" t="s">
        <v>142</v>
      </c>
      <c r="D8" s="1" t="s">
        <v>143</v>
      </c>
      <c r="E8" s="5" t="s">
        <v>144</v>
      </c>
      <c r="F8" s="57" t="s">
        <v>145</v>
      </c>
      <c r="G8" s="3" t="s">
        <v>110</v>
      </c>
      <c r="H8" s="3" t="s">
        <v>53</v>
      </c>
      <c r="I8" s="82" t="s">
        <v>146</v>
      </c>
      <c r="J8" s="84" t="s">
        <v>113</v>
      </c>
      <c r="K8" s="80"/>
      <c r="L8" s="80"/>
      <c r="M8" s="80"/>
    </row>
    <row r="9" spans="1:13" ht="53.45" customHeight="1">
      <c r="A9" s="4" t="s">
        <v>130</v>
      </c>
      <c r="B9" s="7" t="s">
        <v>131</v>
      </c>
      <c r="C9" s="4" t="s">
        <v>147</v>
      </c>
      <c r="D9" s="1" t="s">
        <v>148</v>
      </c>
      <c r="E9" s="5" t="s">
        <v>149</v>
      </c>
      <c r="F9" s="57" t="s">
        <v>150</v>
      </c>
      <c r="G9" s="3" t="s">
        <v>110</v>
      </c>
      <c r="H9" s="3" t="s">
        <v>53</v>
      </c>
      <c r="I9" s="82" t="s">
        <v>151</v>
      </c>
      <c r="J9" s="84" t="s">
        <v>113</v>
      </c>
      <c r="K9" s="80"/>
      <c r="L9" s="80"/>
      <c r="M9" s="80"/>
    </row>
    <row r="10" spans="1:13" ht="56.1" customHeight="1">
      <c r="A10" s="4" t="s">
        <v>152</v>
      </c>
      <c r="B10" s="7" t="s">
        <v>153</v>
      </c>
      <c r="C10" s="4" t="s">
        <v>154</v>
      </c>
      <c r="D10" s="1" t="s">
        <v>155</v>
      </c>
      <c r="E10" s="5" t="s">
        <v>156</v>
      </c>
      <c r="F10" s="53" t="s">
        <v>157</v>
      </c>
      <c r="G10" s="3" t="s">
        <v>110</v>
      </c>
      <c r="H10" s="3" t="s">
        <v>53</v>
      </c>
      <c r="I10" s="82" t="s">
        <v>158</v>
      </c>
      <c r="J10" s="84" t="s">
        <v>113</v>
      </c>
      <c r="K10" s="80"/>
      <c r="L10" s="80"/>
      <c r="M10" s="80" t="s">
        <v>159</v>
      </c>
    </row>
    <row r="11" spans="1:13" ht="50.1" customHeight="1">
      <c r="A11" s="4" t="s">
        <v>152</v>
      </c>
      <c r="B11" s="7" t="s">
        <v>153</v>
      </c>
      <c r="C11" s="4" t="s">
        <v>160</v>
      </c>
      <c r="D11" s="1" t="s">
        <v>161</v>
      </c>
      <c r="E11" s="5" t="s">
        <v>162</v>
      </c>
      <c r="F11" s="53" t="s">
        <v>163</v>
      </c>
      <c r="G11" s="3" t="s">
        <v>110</v>
      </c>
      <c r="H11" s="3" t="s">
        <v>164</v>
      </c>
      <c r="I11" s="82" t="s">
        <v>165</v>
      </c>
      <c r="J11" s="84"/>
      <c r="K11" s="80" t="s">
        <v>113</v>
      </c>
      <c r="L11" s="83" t="s">
        <v>166</v>
      </c>
      <c r="M11" s="80"/>
    </row>
    <row r="12" spans="1:13" ht="51.75" customHeight="1">
      <c r="A12" s="4" t="s">
        <v>167</v>
      </c>
      <c r="B12" s="7" t="s">
        <v>168</v>
      </c>
      <c r="C12" s="4" t="s">
        <v>169</v>
      </c>
      <c r="D12" s="1" t="s">
        <v>170</v>
      </c>
      <c r="E12" s="5" t="s">
        <v>171</v>
      </c>
      <c r="F12" s="53" t="s">
        <v>172</v>
      </c>
      <c r="G12" s="3" t="s">
        <v>110</v>
      </c>
      <c r="H12" s="3" t="s">
        <v>53</v>
      </c>
      <c r="I12" s="82" t="s">
        <v>173</v>
      </c>
      <c r="J12" s="84"/>
      <c r="K12" s="80" t="s">
        <v>113</v>
      </c>
      <c r="L12" s="83" t="s">
        <v>174</v>
      </c>
      <c r="M12" s="80"/>
    </row>
    <row r="13" spans="1:13" ht="78" customHeight="1">
      <c r="A13" s="4" t="s">
        <v>167</v>
      </c>
      <c r="B13" s="7" t="s">
        <v>168</v>
      </c>
      <c r="C13" s="4" t="s">
        <v>175</v>
      </c>
      <c r="D13" s="1" t="s">
        <v>176</v>
      </c>
      <c r="E13" s="5" t="s">
        <v>177</v>
      </c>
      <c r="F13" s="57" t="s">
        <v>178</v>
      </c>
      <c r="G13" s="3" t="s">
        <v>110</v>
      </c>
      <c r="H13" s="3" t="s">
        <v>53</v>
      </c>
      <c r="I13" s="82" t="s">
        <v>179</v>
      </c>
      <c r="J13" s="84" t="s">
        <v>113</v>
      </c>
      <c r="K13" s="80"/>
      <c r="L13" s="80"/>
      <c r="M13" s="80"/>
    </row>
    <row r="14" spans="1:13" ht="61.35" customHeight="1">
      <c r="A14" s="4" t="s">
        <v>180</v>
      </c>
      <c r="B14" s="7" t="s">
        <v>181</v>
      </c>
      <c r="C14" s="4" t="s">
        <v>182</v>
      </c>
      <c r="D14" s="1" t="s">
        <v>183</v>
      </c>
      <c r="E14" s="5" t="s">
        <v>184</v>
      </c>
      <c r="F14" s="57" t="s">
        <v>185</v>
      </c>
      <c r="G14" s="3" t="s">
        <v>110</v>
      </c>
      <c r="H14" s="3" t="s">
        <v>164</v>
      </c>
      <c r="I14" s="82" t="s">
        <v>186</v>
      </c>
      <c r="J14" s="84" t="s">
        <v>113</v>
      </c>
      <c r="K14" s="80"/>
      <c r="L14" s="80"/>
      <c r="M14" s="80"/>
    </row>
    <row r="15" spans="1:13" ht="56.1" customHeight="1">
      <c r="A15" s="4" t="s">
        <v>180</v>
      </c>
      <c r="B15" s="7" t="s">
        <v>181</v>
      </c>
      <c r="C15" s="4" t="s">
        <v>187</v>
      </c>
      <c r="D15" s="1" t="s">
        <v>188</v>
      </c>
      <c r="E15" s="5" t="s">
        <v>189</v>
      </c>
      <c r="F15" s="53" t="s">
        <v>190</v>
      </c>
      <c r="G15" s="3" t="s">
        <v>110</v>
      </c>
      <c r="H15" s="3" t="s">
        <v>53</v>
      </c>
      <c r="I15" s="82" t="s">
        <v>191</v>
      </c>
      <c r="K15" s="80" t="s">
        <v>113</v>
      </c>
      <c r="L15" s="83" t="s">
        <v>192</v>
      </c>
      <c r="M15" s="80"/>
    </row>
    <row r="16" spans="1:13" ht="56.1" customHeight="1">
      <c r="A16" s="4" t="s">
        <v>180</v>
      </c>
      <c r="B16" s="7" t="s">
        <v>181</v>
      </c>
      <c r="C16" s="4" t="s">
        <v>193</v>
      </c>
      <c r="D16" s="1" t="s">
        <v>194</v>
      </c>
      <c r="E16" s="5" t="s">
        <v>195</v>
      </c>
      <c r="F16" s="53" t="s">
        <v>196</v>
      </c>
      <c r="G16" s="3" t="s">
        <v>110</v>
      </c>
      <c r="H16" s="3" t="s">
        <v>53</v>
      </c>
      <c r="I16" s="82" t="s">
        <v>197</v>
      </c>
      <c r="J16" s="84"/>
      <c r="K16" s="80" t="s">
        <v>113</v>
      </c>
      <c r="L16" s="83" t="s">
        <v>198</v>
      </c>
      <c r="M16" s="80"/>
    </row>
    <row r="17" spans="1:13" ht="56.1" customHeight="1">
      <c r="A17" s="4" t="s">
        <v>199</v>
      </c>
      <c r="B17" s="7" t="s">
        <v>200</v>
      </c>
      <c r="C17" s="4" t="s">
        <v>201</v>
      </c>
      <c r="D17" s="1" t="s">
        <v>202</v>
      </c>
      <c r="E17" s="5" t="s">
        <v>203</v>
      </c>
      <c r="F17" s="57" t="s">
        <v>204</v>
      </c>
      <c r="G17" s="3" t="s">
        <v>110</v>
      </c>
      <c r="H17" s="3" t="s">
        <v>53</v>
      </c>
      <c r="I17" s="82" t="s">
        <v>205</v>
      </c>
      <c r="J17" s="84" t="s">
        <v>113</v>
      </c>
      <c r="K17" s="80"/>
      <c r="L17" s="80"/>
      <c r="M17" s="80"/>
    </row>
  </sheetData>
  <autoFilter ref="A1:G17" xr:uid="{BDFF8B38-0C6F-42B2-A07E-44EA1373C2A1}"/>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2821A-DC8F-40A6-A76D-6AD7DBDA3DE2}">
  <sheetPr>
    <tabColor theme="9" tint="0.79998168889431442"/>
  </sheetPr>
  <dimension ref="A1:N16"/>
  <sheetViews>
    <sheetView zoomScale="59" zoomScaleNormal="220" workbookViewId="0">
      <selection activeCell="E22" sqref="E22"/>
    </sheetView>
  </sheetViews>
  <sheetFormatPr defaultColWidth="8.5703125" defaultRowHeight="15"/>
  <cols>
    <col min="1" max="1" width="13.42578125" style="2" customWidth="1"/>
    <col min="2" max="2" width="19.85546875" style="2" customWidth="1"/>
    <col min="3" max="3" width="13.140625" style="2" customWidth="1"/>
    <col min="4" max="4" width="32.42578125" style="2" customWidth="1"/>
    <col min="5" max="5" width="80.85546875" style="2" customWidth="1"/>
    <col min="6" max="6" width="56.85546875" style="2" customWidth="1"/>
    <col min="7" max="7" width="26.42578125" style="2" customWidth="1"/>
    <col min="8" max="8" width="38.5703125" style="2" customWidth="1"/>
    <col min="9" max="9" width="40.85546875" style="2" customWidth="1"/>
    <col min="10" max="10" width="8.5703125" style="2"/>
    <col min="11" max="11" width="15.7109375" style="2" customWidth="1"/>
    <col min="12" max="12" width="22.7109375" style="2" customWidth="1"/>
    <col min="13" max="13" width="35.28515625" style="2" customWidth="1"/>
    <col min="14" max="16384" width="8.5703125" style="2"/>
  </cols>
  <sheetData>
    <row r="1" spans="1:14">
      <c r="F1" s="54">
        <f>(11/14)</f>
        <v>0.7857142857142857</v>
      </c>
    </row>
    <row r="2" spans="1:14" ht="33" customHeight="1">
      <c r="A2" s="88" t="s">
        <v>91</v>
      </c>
      <c r="B2" s="88" t="s">
        <v>92</v>
      </c>
      <c r="C2" s="88" t="s">
        <v>93</v>
      </c>
      <c r="D2" s="88" t="s">
        <v>94</v>
      </c>
      <c r="E2" s="88" t="s">
        <v>95</v>
      </c>
      <c r="F2" s="88" t="s">
        <v>96</v>
      </c>
      <c r="G2" s="89" t="s">
        <v>97</v>
      </c>
      <c r="H2" s="89" t="s">
        <v>98</v>
      </c>
      <c r="I2" s="90" t="s">
        <v>99</v>
      </c>
      <c r="J2" s="91" t="s">
        <v>100</v>
      </c>
      <c r="K2" s="92" t="s">
        <v>101</v>
      </c>
      <c r="L2" s="92" t="s">
        <v>102</v>
      </c>
      <c r="M2" s="92" t="s">
        <v>103</v>
      </c>
      <c r="N2" s="93"/>
    </row>
    <row r="3" spans="1:14" ht="56.1" customHeight="1">
      <c r="A3" s="4" t="s">
        <v>206</v>
      </c>
      <c r="B3" s="3" t="s">
        <v>207</v>
      </c>
      <c r="C3" s="4" t="s">
        <v>208</v>
      </c>
      <c r="D3" s="3" t="s">
        <v>209</v>
      </c>
      <c r="E3" s="6" t="s">
        <v>210</v>
      </c>
      <c r="F3" s="57" t="s">
        <v>211</v>
      </c>
      <c r="G3" s="3" t="s">
        <v>212</v>
      </c>
      <c r="H3" s="3" t="s">
        <v>53</v>
      </c>
      <c r="I3" s="81" t="s">
        <v>213</v>
      </c>
      <c r="J3" s="80" t="s">
        <v>113</v>
      </c>
      <c r="K3" s="80"/>
      <c r="L3" s="80"/>
      <c r="M3" s="80"/>
    </row>
    <row r="4" spans="1:14" ht="231">
      <c r="A4" s="4" t="s">
        <v>206</v>
      </c>
      <c r="B4" s="3" t="s">
        <v>207</v>
      </c>
      <c r="C4" s="4" t="s">
        <v>214</v>
      </c>
      <c r="D4" s="3" t="s">
        <v>215</v>
      </c>
      <c r="E4" s="6" t="s">
        <v>216</v>
      </c>
      <c r="F4" s="63" t="s">
        <v>217</v>
      </c>
      <c r="G4" s="3" t="s">
        <v>212</v>
      </c>
      <c r="H4" s="3" t="s">
        <v>164</v>
      </c>
      <c r="I4" s="81" t="s">
        <v>218</v>
      </c>
      <c r="J4" s="80" t="s">
        <v>113</v>
      </c>
      <c r="K4" s="80"/>
      <c r="L4" s="80"/>
      <c r="M4" s="80"/>
    </row>
    <row r="5" spans="1:14" ht="87.75" customHeight="1">
      <c r="A5" s="4" t="s">
        <v>219</v>
      </c>
      <c r="B5" s="3" t="s">
        <v>220</v>
      </c>
      <c r="C5" s="4" t="s">
        <v>221</v>
      </c>
      <c r="D5" s="3" t="s">
        <v>222</v>
      </c>
      <c r="E5" s="6" t="s">
        <v>223</v>
      </c>
      <c r="F5" s="53" t="s">
        <v>224</v>
      </c>
      <c r="G5" s="3" t="s">
        <v>212</v>
      </c>
      <c r="H5" s="12" t="s">
        <v>140</v>
      </c>
      <c r="I5" s="81" t="s">
        <v>225</v>
      </c>
      <c r="J5" s="80"/>
      <c r="K5" s="80" t="s">
        <v>113</v>
      </c>
      <c r="L5" s="83" t="s">
        <v>226</v>
      </c>
      <c r="M5" s="80"/>
    </row>
    <row r="6" spans="1:14" ht="68.25" customHeight="1">
      <c r="A6" s="4" t="s">
        <v>219</v>
      </c>
      <c r="B6" s="3" t="s">
        <v>220</v>
      </c>
      <c r="C6" s="4" t="s">
        <v>227</v>
      </c>
      <c r="D6" s="3" t="s">
        <v>228</v>
      </c>
      <c r="E6" s="1" t="s">
        <v>229</v>
      </c>
      <c r="F6" s="53" t="s">
        <v>230</v>
      </c>
      <c r="G6" s="3" t="s">
        <v>212</v>
      </c>
      <c r="H6" s="1" t="s">
        <v>53</v>
      </c>
      <c r="I6" s="81" t="s">
        <v>231</v>
      </c>
      <c r="J6" s="80"/>
      <c r="K6" s="80" t="s">
        <v>113</v>
      </c>
      <c r="L6" s="83" t="s">
        <v>232</v>
      </c>
      <c r="M6" s="80"/>
    </row>
    <row r="7" spans="1:14" ht="44.25" customHeight="1">
      <c r="A7" s="4" t="s">
        <v>233</v>
      </c>
      <c r="B7" s="3" t="s">
        <v>234</v>
      </c>
      <c r="C7" s="4" t="s">
        <v>235</v>
      </c>
      <c r="D7" s="3" t="s">
        <v>236</v>
      </c>
      <c r="E7" s="1" t="s">
        <v>237</v>
      </c>
      <c r="F7" s="53" t="s">
        <v>238</v>
      </c>
      <c r="G7" s="3" t="s">
        <v>212</v>
      </c>
      <c r="H7" s="1" t="s">
        <v>53</v>
      </c>
      <c r="I7" s="81" t="s">
        <v>239</v>
      </c>
      <c r="J7" s="80"/>
      <c r="K7" s="80" t="s">
        <v>113</v>
      </c>
      <c r="L7" s="83" t="s">
        <v>240</v>
      </c>
      <c r="M7" s="80"/>
    </row>
    <row r="8" spans="1:14" ht="85.35" customHeight="1">
      <c r="A8" s="4" t="s">
        <v>233</v>
      </c>
      <c r="B8" s="3" t="s">
        <v>234</v>
      </c>
      <c r="C8" s="4" t="s">
        <v>241</v>
      </c>
      <c r="D8" s="1" t="s">
        <v>242</v>
      </c>
      <c r="E8" s="1" t="s">
        <v>243</v>
      </c>
      <c r="F8" s="53" t="s">
        <v>244</v>
      </c>
      <c r="G8" s="3" t="s">
        <v>212</v>
      </c>
      <c r="H8" s="1" t="s">
        <v>53</v>
      </c>
      <c r="I8" s="81" t="s">
        <v>245</v>
      </c>
      <c r="J8" s="80"/>
      <c r="K8" s="80" t="s">
        <v>113</v>
      </c>
      <c r="L8" s="83" t="s">
        <v>246</v>
      </c>
      <c r="M8" s="80"/>
    </row>
    <row r="9" spans="1:14" ht="56.1" customHeight="1">
      <c r="A9" s="4" t="s">
        <v>233</v>
      </c>
      <c r="B9" s="3" t="s">
        <v>234</v>
      </c>
      <c r="C9" s="4" t="s">
        <v>247</v>
      </c>
      <c r="D9" s="1" t="s">
        <v>242</v>
      </c>
      <c r="E9" s="1" t="s">
        <v>248</v>
      </c>
      <c r="F9" s="53" t="s">
        <v>249</v>
      </c>
      <c r="G9" s="3" t="s">
        <v>123</v>
      </c>
      <c r="H9" s="1" t="s">
        <v>250</v>
      </c>
      <c r="I9" s="81" t="s">
        <v>251</v>
      </c>
      <c r="J9" s="80" t="s">
        <v>113</v>
      </c>
      <c r="K9" s="80"/>
      <c r="L9" s="80"/>
      <c r="M9" s="80" t="s">
        <v>159</v>
      </c>
    </row>
    <row r="10" spans="1:14" ht="58.35" customHeight="1">
      <c r="A10" s="4" t="s">
        <v>233</v>
      </c>
      <c r="B10" s="3" t="s">
        <v>234</v>
      </c>
      <c r="C10" s="4" t="s">
        <v>252</v>
      </c>
      <c r="D10" s="1" t="s">
        <v>242</v>
      </c>
      <c r="E10" s="1" t="s">
        <v>253</v>
      </c>
      <c r="F10" s="53" t="s">
        <v>254</v>
      </c>
      <c r="G10" s="3" t="s">
        <v>255</v>
      </c>
      <c r="H10" s="1" t="s">
        <v>53</v>
      </c>
      <c r="I10" s="81" t="s">
        <v>256</v>
      </c>
      <c r="J10" s="80" t="s">
        <v>113</v>
      </c>
      <c r="K10" s="80"/>
      <c r="L10" s="80"/>
      <c r="M10" s="80" t="s">
        <v>159</v>
      </c>
    </row>
    <row r="11" spans="1:14" ht="81.75" customHeight="1">
      <c r="A11" s="4" t="s">
        <v>257</v>
      </c>
      <c r="B11" s="3" t="s">
        <v>258</v>
      </c>
      <c r="C11" s="4" t="s">
        <v>259</v>
      </c>
      <c r="D11" s="1" t="s">
        <v>260</v>
      </c>
      <c r="E11" s="1" t="s">
        <v>261</v>
      </c>
      <c r="F11" s="53" t="s">
        <v>262</v>
      </c>
      <c r="G11" s="3" t="s">
        <v>212</v>
      </c>
      <c r="H11" s="12" t="s">
        <v>140</v>
      </c>
      <c r="I11" s="81" t="s">
        <v>263</v>
      </c>
      <c r="J11" s="80"/>
      <c r="K11" s="80" t="s">
        <v>113</v>
      </c>
      <c r="L11" s="83" t="s">
        <v>264</v>
      </c>
      <c r="M11" s="80"/>
    </row>
    <row r="12" spans="1:14" ht="44.25" customHeight="1">
      <c r="A12" s="4" t="s">
        <v>265</v>
      </c>
      <c r="B12" s="3" t="s">
        <v>266</v>
      </c>
      <c r="C12" s="4" t="s">
        <v>267</v>
      </c>
      <c r="D12" s="1" t="s">
        <v>268</v>
      </c>
      <c r="E12" s="1" t="s">
        <v>269</v>
      </c>
      <c r="F12" s="53" t="s">
        <v>270</v>
      </c>
      <c r="G12" s="3" t="s">
        <v>212</v>
      </c>
      <c r="H12" s="1" t="s">
        <v>53</v>
      </c>
      <c r="I12" s="81" t="s">
        <v>271</v>
      </c>
      <c r="J12" s="80"/>
      <c r="K12" s="80" t="s">
        <v>113</v>
      </c>
      <c r="L12" s="83" t="s">
        <v>272</v>
      </c>
      <c r="M12" s="80"/>
    </row>
    <row r="13" spans="1:14" ht="66" customHeight="1">
      <c r="A13" s="4" t="s">
        <v>265</v>
      </c>
      <c r="B13" s="3" t="s">
        <v>266</v>
      </c>
      <c r="C13" s="4" t="s">
        <v>273</v>
      </c>
      <c r="D13" s="1" t="s">
        <v>274</v>
      </c>
      <c r="E13" s="1" t="s">
        <v>275</v>
      </c>
      <c r="F13" s="53" t="s">
        <v>276</v>
      </c>
      <c r="G13" s="3" t="s">
        <v>212</v>
      </c>
      <c r="H13" s="1" t="s">
        <v>53</v>
      </c>
      <c r="I13" s="82" t="s">
        <v>277</v>
      </c>
      <c r="J13" s="80"/>
      <c r="K13" s="80" t="s">
        <v>113</v>
      </c>
      <c r="L13" s="83" t="s">
        <v>278</v>
      </c>
      <c r="M13" s="80"/>
    </row>
    <row r="14" spans="1:14" ht="409.6">
      <c r="A14" s="4" t="s">
        <v>265</v>
      </c>
      <c r="B14" s="3" t="s">
        <v>266</v>
      </c>
      <c r="C14" s="4" t="s">
        <v>279</v>
      </c>
      <c r="D14" s="3" t="s">
        <v>274</v>
      </c>
      <c r="E14" s="1" t="s">
        <v>280</v>
      </c>
      <c r="F14" s="53" t="s">
        <v>281</v>
      </c>
      <c r="G14" s="3" t="s">
        <v>123</v>
      </c>
      <c r="H14" s="1" t="s">
        <v>53</v>
      </c>
      <c r="I14" s="82" t="s">
        <v>282</v>
      </c>
      <c r="J14" s="80"/>
      <c r="K14" s="80" t="s">
        <v>113</v>
      </c>
      <c r="L14" s="83" t="s">
        <v>283</v>
      </c>
      <c r="M14" s="80"/>
    </row>
    <row r="15" spans="1:14" ht="70.349999999999994" customHeight="1">
      <c r="A15" s="4" t="s">
        <v>265</v>
      </c>
      <c r="B15" s="3" t="s">
        <v>266</v>
      </c>
      <c r="C15" s="4" t="s">
        <v>284</v>
      </c>
      <c r="D15" s="3" t="s">
        <v>285</v>
      </c>
      <c r="E15" s="1" t="s">
        <v>286</v>
      </c>
      <c r="F15" s="53" t="s">
        <v>287</v>
      </c>
      <c r="G15" s="3" t="s">
        <v>212</v>
      </c>
      <c r="H15" s="1" t="s">
        <v>53</v>
      </c>
      <c r="I15" s="82" t="s">
        <v>288</v>
      </c>
      <c r="J15" s="80"/>
      <c r="K15" s="80" t="s">
        <v>113</v>
      </c>
      <c r="L15" s="83" t="s">
        <v>289</v>
      </c>
      <c r="M15" s="80"/>
    </row>
    <row r="16" spans="1:14" ht="61.35" customHeight="1">
      <c r="A16" s="4" t="s">
        <v>265</v>
      </c>
      <c r="B16" s="3" t="s">
        <v>266</v>
      </c>
      <c r="C16" s="4" t="s">
        <v>290</v>
      </c>
      <c r="D16" s="3" t="s">
        <v>285</v>
      </c>
      <c r="E16" s="1" t="s">
        <v>291</v>
      </c>
      <c r="F16" s="53" t="s">
        <v>292</v>
      </c>
      <c r="G16" s="3" t="s">
        <v>123</v>
      </c>
      <c r="H16" s="1" t="s">
        <v>53</v>
      </c>
      <c r="I16" s="76" t="s">
        <v>293</v>
      </c>
      <c r="J16" s="80"/>
      <c r="K16" s="80" t="s">
        <v>113</v>
      </c>
      <c r="L16" s="83" t="s">
        <v>294</v>
      </c>
      <c r="M16" s="80"/>
    </row>
  </sheetData>
  <autoFilter ref="A2:G2" xr:uid="{1842821A-DC8F-40A6-A76D-6AD7DBDA3DE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0E563-2FA7-4FB9-8973-0DA265F57204}">
  <sheetPr>
    <tabColor theme="8" tint="0.59999389629810485"/>
  </sheetPr>
  <dimension ref="A1:N15"/>
  <sheetViews>
    <sheetView zoomScale="69" zoomScaleNormal="170" workbookViewId="0">
      <selection activeCell="E9" sqref="E9"/>
    </sheetView>
  </sheetViews>
  <sheetFormatPr defaultColWidth="8.5703125" defaultRowHeight="15"/>
  <cols>
    <col min="1" max="1" width="13.42578125" style="2" customWidth="1"/>
    <col min="2" max="2" width="67.140625" style="2" bestFit="1" customWidth="1"/>
    <col min="3" max="3" width="22.42578125" style="2" bestFit="1" customWidth="1"/>
    <col min="4" max="4" width="53.42578125" style="2" bestFit="1" customWidth="1"/>
    <col min="5" max="5" width="80.85546875" style="2" customWidth="1"/>
    <col min="6" max="6" width="56.85546875" style="2" customWidth="1"/>
    <col min="7" max="7" width="26.42578125" style="2" customWidth="1"/>
    <col min="8" max="8" width="41.42578125" style="2" customWidth="1"/>
    <col min="9" max="9" width="53.85546875" style="2" customWidth="1"/>
    <col min="10" max="16384" width="8.5703125" style="2"/>
  </cols>
  <sheetData>
    <row r="1" spans="1:14">
      <c r="F1" s="54">
        <f>(10/13)</f>
        <v>0.76923076923076927</v>
      </c>
    </row>
    <row r="2" spans="1:14" ht="72.75">
      <c r="A2" s="88" t="s">
        <v>91</v>
      </c>
      <c r="B2" s="88" t="s">
        <v>92</v>
      </c>
      <c r="C2" s="88" t="s">
        <v>93</v>
      </c>
      <c r="D2" s="88" t="s">
        <v>94</v>
      </c>
      <c r="E2" s="88" t="s">
        <v>95</v>
      </c>
      <c r="F2" s="88" t="s">
        <v>96</v>
      </c>
      <c r="G2" s="89" t="s">
        <v>97</v>
      </c>
      <c r="H2" s="89" t="s">
        <v>98</v>
      </c>
      <c r="I2" s="90" t="s">
        <v>99</v>
      </c>
      <c r="J2" s="91" t="s">
        <v>100</v>
      </c>
      <c r="K2" s="92" t="s">
        <v>101</v>
      </c>
      <c r="L2" s="92" t="s">
        <v>102</v>
      </c>
      <c r="M2" s="92" t="s">
        <v>103</v>
      </c>
      <c r="N2" s="93"/>
    </row>
    <row r="3" spans="1:14" ht="288.75">
      <c r="A3" s="4" t="s">
        <v>295</v>
      </c>
      <c r="B3" s="3" t="s">
        <v>296</v>
      </c>
      <c r="C3" s="4" t="s">
        <v>297</v>
      </c>
      <c r="D3" s="3" t="s">
        <v>298</v>
      </c>
      <c r="E3" s="1" t="s">
        <v>299</v>
      </c>
      <c r="F3" s="57" t="s">
        <v>300</v>
      </c>
      <c r="G3" s="3" t="s">
        <v>110</v>
      </c>
      <c r="H3" s="1" t="s">
        <v>53</v>
      </c>
      <c r="I3" s="78" t="s">
        <v>301</v>
      </c>
    </row>
    <row r="4" spans="1:14" ht="103.5" customHeight="1">
      <c r="A4" s="4" t="s">
        <v>295</v>
      </c>
      <c r="B4" s="3" t="s">
        <v>296</v>
      </c>
      <c r="C4" s="4" t="s">
        <v>302</v>
      </c>
      <c r="D4" s="3" t="s">
        <v>303</v>
      </c>
      <c r="E4" s="1" t="s">
        <v>304</v>
      </c>
      <c r="F4" s="57" t="s">
        <v>305</v>
      </c>
      <c r="G4" s="3" t="s">
        <v>110</v>
      </c>
      <c r="H4" s="1" t="s">
        <v>53</v>
      </c>
      <c r="I4" s="12" t="s">
        <v>306</v>
      </c>
    </row>
    <row r="5" spans="1:14" ht="96.95" customHeight="1">
      <c r="A5" s="4" t="s">
        <v>295</v>
      </c>
      <c r="B5" s="3" t="s">
        <v>296</v>
      </c>
      <c r="C5" s="4" t="s">
        <v>307</v>
      </c>
      <c r="D5" s="3" t="s">
        <v>308</v>
      </c>
      <c r="E5" s="1" t="s">
        <v>309</v>
      </c>
      <c r="F5" s="63" t="s">
        <v>310</v>
      </c>
      <c r="G5" s="3" t="s">
        <v>110</v>
      </c>
      <c r="H5" s="12" t="s">
        <v>311</v>
      </c>
      <c r="I5" s="12" t="s">
        <v>312</v>
      </c>
    </row>
    <row r="6" spans="1:14" ht="44.25" customHeight="1">
      <c r="A6" s="4" t="s">
        <v>295</v>
      </c>
      <c r="B6" s="3" t="s">
        <v>296</v>
      </c>
      <c r="C6" s="4" t="s">
        <v>313</v>
      </c>
      <c r="D6" s="3" t="s">
        <v>314</v>
      </c>
      <c r="E6" s="1" t="s">
        <v>315</v>
      </c>
      <c r="F6" s="53" t="s">
        <v>316</v>
      </c>
      <c r="G6" s="3" t="s">
        <v>110</v>
      </c>
      <c r="H6" s="1" t="s">
        <v>140</v>
      </c>
      <c r="I6" s="12" t="s">
        <v>317</v>
      </c>
    </row>
    <row r="7" spans="1:14" ht="44.25" customHeight="1">
      <c r="A7" s="4" t="s">
        <v>295</v>
      </c>
      <c r="B7" s="3" t="s">
        <v>296</v>
      </c>
      <c r="C7" s="4" t="s">
        <v>318</v>
      </c>
      <c r="D7" s="3" t="s">
        <v>319</v>
      </c>
      <c r="E7" s="1" t="s">
        <v>320</v>
      </c>
      <c r="F7" s="63" t="s">
        <v>321</v>
      </c>
      <c r="G7" s="3" t="s">
        <v>110</v>
      </c>
      <c r="H7" s="1" t="s">
        <v>140</v>
      </c>
      <c r="I7" s="12" t="s">
        <v>322</v>
      </c>
    </row>
    <row r="8" spans="1:14" ht="44.25" customHeight="1">
      <c r="A8" s="4" t="s">
        <v>295</v>
      </c>
      <c r="B8" s="3" t="s">
        <v>296</v>
      </c>
      <c r="C8" s="4" t="s">
        <v>323</v>
      </c>
      <c r="D8" s="3" t="s">
        <v>324</v>
      </c>
      <c r="E8" s="1" t="s">
        <v>325</v>
      </c>
      <c r="F8" s="63" t="s">
        <v>326</v>
      </c>
      <c r="G8" s="3" t="s">
        <v>110</v>
      </c>
      <c r="H8" s="1" t="s">
        <v>140</v>
      </c>
      <c r="I8" s="12" t="s">
        <v>327</v>
      </c>
    </row>
    <row r="9" spans="1:14" ht="375.75">
      <c r="A9" s="4" t="s">
        <v>328</v>
      </c>
      <c r="B9" s="3" t="s">
        <v>329</v>
      </c>
      <c r="C9" s="4" t="s">
        <v>330</v>
      </c>
      <c r="D9" s="3" t="s">
        <v>331</v>
      </c>
      <c r="E9" s="1" t="s">
        <v>332</v>
      </c>
      <c r="F9" s="52" t="s">
        <v>333</v>
      </c>
      <c r="G9" s="3" t="s">
        <v>110</v>
      </c>
      <c r="H9" s="12" t="s">
        <v>334</v>
      </c>
      <c r="I9" s="12" t="s">
        <v>335</v>
      </c>
    </row>
    <row r="10" spans="1:14" ht="75" customHeight="1">
      <c r="A10" s="4" t="s">
        <v>328</v>
      </c>
      <c r="B10" s="3" t="s">
        <v>329</v>
      </c>
      <c r="C10" s="4" t="s">
        <v>336</v>
      </c>
      <c r="D10" s="3" t="s">
        <v>337</v>
      </c>
      <c r="E10" s="1" t="s">
        <v>338</v>
      </c>
      <c r="F10" s="53" t="s">
        <v>339</v>
      </c>
      <c r="G10" s="3" t="s">
        <v>110</v>
      </c>
      <c r="H10" s="12" t="s">
        <v>140</v>
      </c>
      <c r="I10" s="12" t="s">
        <v>340</v>
      </c>
    </row>
    <row r="11" spans="1:14" ht="65.25" customHeight="1">
      <c r="A11" s="4" t="s">
        <v>341</v>
      </c>
      <c r="B11" s="3" t="s">
        <v>342</v>
      </c>
      <c r="C11" s="4" t="s">
        <v>343</v>
      </c>
      <c r="D11" s="1" t="s">
        <v>342</v>
      </c>
      <c r="E11" s="1" t="s">
        <v>344</v>
      </c>
      <c r="F11" s="55" t="s">
        <v>345</v>
      </c>
      <c r="G11" s="3" t="s">
        <v>110</v>
      </c>
      <c r="H11" s="1" t="s">
        <v>53</v>
      </c>
      <c r="I11" s="12" t="s">
        <v>346</v>
      </c>
    </row>
    <row r="12" spans="1:14" ht="51.95" customHeight="1">
      <c r="A12" s="4" t="s">
        <v>347</v>
      </c>
      <c r="B12" s="3" t="s">
        <v>348</v>
      </c>
      <c r="C12" s="4" t="s">
        <v>349</v>
      </c>
      <c r="D12" s="3" t="s">
        <v>350</v>
      </c>
      <c r="E12" s="1" t="s">
        <v>351</v>
      </c>
      <c r="F12" s="53" t="s">
        <v>352</v>
      </c>
      <c r="G12" s="3" t="s">
        <v>123</v>
      </c>
      <c r="H12" s="1" t="s">
        <v>53</v>
      </c>
      <c r="I12" s="12" t="s">
        <v>353</v>
      </c>
    </row>
    <row r="13" spans="1:14" ht="44.25" customHeight="1">
      <c r="A13" s="4" t="s">
        <v>347</v>
      </c>
      <c r="B13" s="3" t="s">
        <v>348</v>
      </c>
      <c r="C13" s="4" t="s">
        <v>354</v>
      </c>
      <c r="D13" s="3" t="s">
        <v>355</v>
      </c>
      <c r="E13" s="1" t="s">
        <v>356</v>
      </c>
      <c r="F13" s="57" t="s">
        <v>357</v>
      </c>
      <c r="G13" s="3" t="s">
        <v>123</v>
      </c>
      <c r="H13" s="1" t="s">
        <v>53</v>
      </c>
      <c r="I13" s="12" t="s">
        <v>358</v>
      </c>
    </row>
    <row r="14" spans="1:14" ht="44.25" customHeight="1">
      <c r="A14" s="4" t="s">
        <v>347</v>
      </c>
      <c r="B14" s="3" t="s">
        <v>348</v>
      </c>
      <c r="C14" s="4" t="s">
        <v>359</v>
      </c>
      <c r="D14" s="3" t="s">
        <v>360</v>
      </c>
      <c r="E14" s="1" t="s">
        <v>361</v>
      </c>
      <c r="F14" s="56" t="s">
        <v>362</v>
      </c>
      <c r="G14" s="3" t="s">
        <v>123</v>
      </c>
      <c r="H14" s="1" t="s">
        <v>53</v>
      </c>
      <c r="I14" s="12" t="s">
        <v>363</v>
      </c>
    </row>
    <row r="15" spans="1:14" ht="44.25" customHeight="1">
      <c r="A15" s="4" t="s">
        <v>364</v>
      </c>
      <c r="B15" s="3" t="s">
        <v>365</v>
      </c>
      <c r="C15" s="4" t="s">
        <v>366</v>
      </c>
      <c r="D15" s="3" t="s">
        <v>367</v>
      </c>
      <c r="E15" s="1" t="s">
        <v>368</v>
      </c>
      <c r="F15" s="57" t="s">
        <v>369</v>
      </c>
      <c r="G15" s="3" t="s">
        <v>110</v>
      </c>
      <c r="H15" s="1" t="s">
        <v>53</v>
      </c>
      <c r="I15" s="12" t="s">
        <v>370</v>
      </c>
    </row>
  </sheetData>
  <autoFilter ref="A2:G2" xr:uid="{1842821A-DC8F-40A6-A76D-6AD7DBDA3DE2}"/>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0FACA-CA44-4C59-988F-CAD77A53ABB1}">
  <sheetPr>
    <tabColor theme="9" tint="0.79998168889431442"/>
  </sheetPr>
  <dimension ref="A1:N18"/>
  <sheetViews>
    <sheetView topLeftCell="D1" zoomScale="110" zoomScaleNormal="110" workbookViewId="0">
      <selection activeCell="E21" sqref="E21"/>
    </sheetView>
  </sheetViews>
  <sheetFormatPr defaultColWidth="8.5703125" defaultRowHeight="15"/>
  <cols>
    <col min="1" max="1" width="13.42578125" style="8" customWidth="1"/>
    <col min="2" max="2" width="61.42578125" style="2" bestFit="1" customWidth="1"/>
    <col min="3" max="3" width="22.42578125" style="2" bestFit="1" customWidth="1"/>
    <col min="4" max="4" width="63" style="2" bestFit="1" customWidth="1"/>
    <col min="5" max="5" width="80.85546875" style="2" customWidth="1"/>
    <col min="6" max="6" width="56.85546875" style="2" customWidth="1"/>
    <col min="7" max="7" width="26.42578125" style="2" customWidth="1"/>
    <col min="8" max="8" width="42" style="2" customWidth="1"/>
    <col min="9" max="9" width="55.28515625" style="2" customWidth="1"/>
    <col min="10" max="11" width="8.5703125" style="2"/>
    <col min="12" max="12" width="25.28515625" style="2" customWidth="1"/>
    <col min="13" max="13" width="41.28515625" style="2" customWidth="1"/>
    <col min="14" max="16384" width="8.5703125" style="2"/>
  </cols>
  <sheetData>
    <row r="1" spans="1:14">
      <c r="F1" s="54">
        <f>(16/18)</f>
        <v>0.88888888888888884</v>
      </c>
    </row>
    <row r="2" spans="1:14" ht="72.75">
      <c r="A2" s="88" t="s">
        <v>91</v>
      </c>
      <c r="B2" s="88" t="s">
        <v>92</v>
      </c>
      <c r="C2" s="88" t="s">
        <v>93</v>
      </c>
      <c r="D2" s="88" t="s">
        <v>94</v>
      </c>
      <c r="E2" s="88" t="s">
        <v>95</v>
      </c>
      <c r="F2" s="88" t="s">
        <v>96</v>
      </c>
      <c r="G2" s="89" t="s">
        <v>97</v>
      </c>
      <c r="H2" s="89" t="s">
        <v>98</v>
      </c>
      <c r="I2" s="90" t="s">
        <v>99</v>
      </c>
      <c r="J2" s="91" t="s">
        <v>100</v>
      </c>
      <c r="K2" s="92" t="s">
        <v>101</v>
      </c>
      <c r="L2" s="92" t="s">
        <v>102</v>
      </c>
      <c r="M2" s="92" t="s">
        <v>103</v>
      </c>
      <c r="N2" s="93"/>
    </row>
    <row r="3" spans="1:14" ht="44.25" customHeight="1">
      <c r="A3" s="4" t="s">
        <v>371</v>
      </c>
      <c r="B3" s="3" t="s">
        <v>372</v>
      </c>
      <c r="C3" s="4" t="s">
        <v>373</v>
      </c>
      <c r="D3" s="3" t="s">
        <v>374</v>
      </c>
      <c r="E3" s="6" t="s">
        <v>375</v>
      </c>
      <c r="F3" s="53" t="s">
        <v>376</v>
      </c>
      <c r="G3" s="3" t="s">
        <v>110</v>
      </c>
      <c r="H3" s="1" t="s">
        <v>53</v>
      </c>
      <c r="I3" s="79" t="s">
        <v>377</v>
      </c>
      <c r="J3" s="80" t="s">
        <v>113</v>
      </c>
      <c r="K3" s="80"/>
      <c r="L3" s="80"/>
      <c r="M3" s="80" t="s">
        <v>159</v>
      </c>
    </row>
    <row r="4" spans="1:14" ht="44.25" customHeight="1">
      <c r="A4" s="4" t="s">
        <v>371</v>
      </c>
      <c r="B4" s="3" t="s">
        <v>372</v>
      </c>
      <c r="C4" s="4" t="s">
        <v>378</v>
      </c>
      <c r="D4" s="3" t="s">
        <v>379</v>
      </c>
      <c r="E4" s="6" t="s">
        <v>380</v>
      </c>
      <c r="F4" s="53" t="s">
        <v>381</v>
      </c>
      <c r="G4" s="3" t="s">
        <v>110</v>
      </c>
      <c r="H4" s="3" t="s">
        <v>164</v>
      </c>
      <c r="I4" s="5" t="s">
        <v>382</v>
      </c>
      <c r="J4" s="80" t="s">
        <v>113</v>
      </c>
      <c r="K4" s="80"/>
      <c r="L4" s="80"/>
      <c r="M4" s="80" t="s">
        <v>159</v>
      </c>
    </row>
    <row r="5" spans="1:14" ht="44.25" customHeight="1">
      <c r="A5" s="4" t="s">
        <v>383</v>
      </c>
      <c r="B5" s="3" t="s">
        <v>384</v>
      </c>
      <c r="C5" s="4" t="s">
        <v>385</v>
      </c>
      <c r="D5" s="3" t="s">
        <v>386</v>
      </c>
      <c r="E5" s="1" t="s">
        <v>387</v>
      </c>
      <c r="F5" s="55" t="s">
        <v>388</v>
      </c>
      <c r="G5" s="3" t="s">
        <v>110</v>
      </c>
      <c r="H5" s="1" t="s">
        <v>53</v>
      </c>
      <c r="I5" s="5" t="s">
        <v>389</v>
      </c>
      <c r="J5" s="80"/>
      <c r="K5" s="80" t="s">
        <v>113</v>
      </c>
      <c r="L5" s="83" t="s">
        <v>390</v>
      </c>
      <c r="M5" s="80"/>
    </row>
    <row r="6" spans="1:14" ht="44.25" customHeight="1">
      <c r="A6" s="4" t="s">
        <v>383</v>
      </c>
      <c r="B6" s="3" t="s">
        <v>384</v>
      </c>
      <c r="C6" s="4" t="s">
        <v>391</v>
      </c>
      <c r="D6" s="3" t="s">
        <v>392</v>
      </c>
      <c r="E6" s="1" t="s">
        <v>393</v>
      </c>
      <c r="F6" s="55" t="s">
        <v>394</v>
      </c>
      <c r="G6" s="3" t="s">
        <v>110</v>
      </c>
      <c r="H6" s="1" t="s">
        <v>53</v>
      </c>
      <c r="I6" s="5" t="s">
        <v>395</v>
      </c>
      <c r="J6" s="80"/>
      <c r="K6" s="80" t="s">
        <v>113</v>
      </c>
      <c r="L6" s="83" t="s">
        <v>396</v>
      </c>
      <c r="M6" s="80"/>
    </row>
    <row r="7" spans="1:14" ht="44.25" customHeight="1">
      <c r="A7" s="4" t="s">
        <v>383</v>
      </c>
      <c r="B7" s="3" t="s">
        <v>384</v>
      </c>
      <c r="C7" s="4" t="s">
        <v>397</v>
      </c>
      <c r="D7" s="3" t="s">
        <v>398</v>
      </c>
      <c r="E7" s="1" t="s">
        <v>399</v>
      </c>
      <c r="F7" s="57" t="s">
        <v>400</v>
      </c>
      <c r="G7" s="3" t="s">
        <v>110</v>
      </c>
      <c r="H7" s="1" t="s">
        <v>140</v>
      </c>
      <c r="I7" s="5" t="s">
        <v>401</v>
      </c>
      <c r="J7" s="80" t="s">
        <v>113</v>
      </c>
      <c r="K7" s="80"/>
      <c r="L7" s="80"/>
      <c r="M7" s="80"/>
    </row>
    <row r="8" spans="1:14" ht="44.25" customHeight="1">
      <c r="A8" s="4" t="s">
        <v>402</v>
      </c>
      <c r="B8" s="3" t="s">
        <v>403</v>
      </c>
      <c r="C8" s="4" t="s">
        <v>404</v>
      </c>
      <c r="D8" s="3" t="s">
        <v>405</v>
      </c>
      <c r="E8" s="1" t="s">
        <v>406</v>
      </c>
      <c r="F8" s="55" t="s">
        <v>407</v>
      </c>
      <c r="G8" s="3" t="s">
        <v>110</v>
      </c>
      <c r="H8" s="1" t="s">
        <v>53</v>
      </c>
      <c r="I8" s="5" t="s">
        <v>408</v>
      </c>
      <c r="J8" s="80"/>
      <c r="K8" s="80" t="s">
        <v>113</v>
      </c>
      <c r="L8" s="83" t="s">
        <v>409</v>
      </c>
      <c r="M8" s="80"/>
    </row>
    <row r="9" spans="1:14" ht="44.25" customHeight="1">
      <c r="A9" s="4" t="s">
        <v>402</v>
      </c>
      <c r="B9" s="3" t="s">
        <v>403</v>
      </c>
      <c r="C9" s="4" t="s">
        <v>410</v>
      </c>
      <c r="D9" s="3" t="s">
        <v>411</v>
      </c>
      <c r="E9" s="1" t="s">
        <v>412</v>
      </c>
      <c r="F9" s="56" t="s">
        <v>413</v>
      </c>
      <c r="G9" s="3" t="s">
        <v>110</v>
      </c>
      <c r="H9" s="1" t="s">
        <v>53</v>
      </c>
      <c r="I9" s="5" t="s">
        <v>414</v>
      </c>
      <c r="J9" s="80" t="s">
        <v>113</v>
      </c>
      <c r="K9" s="80"/>
      <c r="L9" s="80"/>
      <c r="M9" s="80"/>
    </row>
    <row r="10" spans="1:14" ht="44.25" customHeight="1">
      <c r="A10" s="4" t="s">
        <v>415</v>
      </c>
      <c r="B10" s="3" t="s">
        <v>416</v>
      </c>
      <c r="C10" s="4" t="s">
        <v>417</v>
      </c>
      <c r="D10" s="3" t="s">
        <v>418</v>
      </c>
      <c r="E10" s="1" t="s">
        <v>419</v>
      </c>
      <c r="F10" s="55" t="s">
        <v>420</v>
      </c>
      <c r="G10" s="3" t="s">
        <v>110</v>
      </c>
      <c r="H10" s="1" t="s">
        <v>53</v>
      </c>
      <c r="I10" s="5" t="s">
        <v>421</v>
      </c>
      <c r="J10" s="80" t="s">
        <v>113</v>
      </c>
      <c r="K10" s="80"/>
      <c r="L10" s="80"/>
      <c r="M10" s="80" t="s">
        <v>159</v>
      </c>
    </row>
    <row r="11" spans="1:14" ht="60.75" customHeight="1">
      <c r="A11" s="4" t="s">
        <v>415</v>
      </c>
      <c r="B11" s="3" t="s">
        <v>416</v>
      </c>
      <c r="C11" s="4" t="s">
        <v>422</v>
      </c>
      <c r="D11" s="1" t="s">
        <v>418</v>
      </c>
      <c r="E11" s="1" t="s">
        <v>423</v>
      </c>
      <c r="F11" s="53" t="s">
        <v>424</v>
      </c>
      <c r="G11" s="3" t="s">
        <v>123</v>
      </c>
      <c r="H11" s="1" t="s">
        <v>425</v>
      </c>
      <c r="I11" s="5" t="s">
        <v>426</v>
      </c>
      <c r="J11" s="80" t="s">
        <v>113</v>
      </c>
      <c r="K11" s="80"/>
      <c r="L11" s="80"/>
      <c r="M11" s="80" t="s">
        <v>159</v>
      </c>
    </row>
    <row r="12" spans="1:14" ht="56.25" customHeight="1">
      <c r="A12" s="4" t="s">
        <v>415</v>
      </c>
      <c r="B12" s="3" t="s">
        <v>416</v>
      </c>
      <c r="C12" s="4" t="s">
        <v>427</v>
      </c>
      <c r="D12" s="3" t="s">
        <v>418</v>
      </c>
      <c r="E12" s="1" t="s">
        <v>428</v>
      </c>
      <c r="F12" s="53" t="s">
        <v>424</v>
      </c>
      <c r="G12" s="3" t="s">
        <v>255</v>
      </c>
      <c r="H12" s="1" t="s">
        <v>425</v>
      </c>
      <c r="I12" s="5" t="s">
        <v>429</v>
      </c>
      <c r="J12" s="80" t="s">
        <v>113</v>
      </c>
      <c r="K12" s="80"/>
      <c r="L12" s="80"/>
      <c r="M12" s="80" t="s">
        <v>159</v>
      </c>
    </row>
    <row r="13" spans="1:14" ht="44.25" customHeight="1">
      <c r="A13" s="4" t="s">
        <v>430</v>
      </c>
      <c r="B13" s="3" t="s">
        <v>431</v>
      </c>
      <c r="C13" s="4" t="s">
        <v>432</v>
      </c>
      <c r="D13" s="3" t="s">
        <v>433</v>
      </c>
      <c r="E13" s="1" t="s">
        <v>434</v>
      </c>
      <c r="F13" s="55" t="s">
        <v>435</v>
      </c>
      <c r="G13" s="3" t="s">
        <v>110</v>
      </c>
      <c r="H13" s="1" t="s">
        <v>53</v>
      </c>
      <c r="I13" s="5" t="s">
        <v>436</v>
      </c>
      <c r="J13" s="80"/>
      <c r="K13" s="80" t="s">
        <v>113</v>
      </c>
      <c r="L13" s="83" t="s">
        <v>437</v>
      </c>
      <c r="M13" s="80"/>
    </row>
    <row r="14" spans="1:14" ht="44.25" customHeight="1">
      <c r="A14" s="4" t="s">
        <v>430</v>
      </c>
      <c r="B14" s="3" t="s">
        <v>431</v>
      </c>
      <c r="C14" s="4" t="s">
        <v>438</v>
      </c>
      <c r="D14" s="3" t="s">
        <v>439</v>
      </c>
      <c r="E14" s="1" t="s">
        <v>440</v>
      </c>
      <c r="F14" s="53" t="s">
        <v>441</v>
      </c>
      <c r="G14" s="3" t="s">
        <v>110</v>
      </c>
      <c r="H14" s="1" t="s">
        <v>53</v>
      </c>
      <c r="I14" s="5" t="s">
        <v>442</v>
      </c>
      <c r="J14" s="80"/>
      <c r="K14" s="80" t="s">
        <v>113</v>
      </c>
      <c r="L14" s="83" t="s">
        <v>443</v>
      </c>
      <c r="M14" s="80"/>
    </row>
    <row r="15" spans="1:14" ht="44.25" customHeight="1">
      <c r="A15" s="4" t="s">
        <v>430</v>
      </c>
      <c r="B15" s="3" t="s">
        <v>431</v>
      </c>
      <c r="C15" s="4" t="s">
        <v>444</v>
      </c>
      <c r="D15" s="3" t="s">
        <v>445</v>
      </c>
      <c r="E15" s="1" t="s">
        <v>446</v>
      </c>
      <c r="F15" s="55" t="s">
        <v>447</v>
      </c>
      <c r="G15" s="3" t="s">
        <v>123</v>
      </c>
      <c r="H15" s="1" t="s">
        <v>53</v>
      </c>
      <c r="I15" s="5" t="s">
        <v>448</v>
      </c>
      <c r="J15" s="80" t="s">
        <v>113</v>
      </c>
      <c r="K15" s="80"/>
      <c r="L15" s="80"/>
      <c r="M15" s="85" t="s">
        <v>449</v>
      </c>
    </row>
    <row r="16" spans="1:14" ht="44.25" customHeight="1">
      <c r="A16" s="4" t="s">
        <v>430</v>
      </c>
      <c r="B16" s="3" t="s">
        <v>431</v>
      </c>
      <c r="C16" s="4" t="s">
        <v>450</v>
      </c>
      <c r="D16" s="3" t="s">
        <v>445</v>
      </c>
      <c r="E16" s="1" t="s">
        <v>451</v>
      </c>
      <c r="F16" s="55" t="s">
        <v>452</v>
      </c>
      <c r="G16" s="3" t="s">
        <v>123</v>
      </c>
      <c r="H16" s="1" t="s">
        <v>53</v>
      </c>
      <c r="I16" s="5" t="s">
        <v>453</v>
      </c>
      <c r="J16" s="80" t="s">
        <v>113</v>
      </c>
      <c r="K16" s="80"/>
      <c r="L16" s="80"/>
      <c r="M16" s="85" t="s">
        <v>449</v>
      </c>
    </row>
    <row r="17" spans="1:13" ht="44.25" customHeight="1">
      <c r="A17" s="4" t="s">
        <v>430</v>
      </c>
      <c r="B17" s="3" t="s">
        <v>431</v>
      </c>
      <c r="C17" s="4" t="s">
        <v>454</v>
      </c>
      <c r="D17" s="3" t="s">
        <v>455</v>
      </c>
      <c r="E17" s="1" t="s">
        <v>456</v>
      </c>
      <c r="F17" s="53" t="s">
        <v>457</v>
      </c>
      <c r="G17" s="3" t="s">
        <v>110</v>
      </c>
      <c r="H17" s="1" t="s">
        <v>53</v>
      </c>
      <c r="I17" s="5" t="s">
        <v>458</v>
      </c>
      <c r="J17" s="80" t="s">
        <v>113</v>
      </c>
      <c r="K17" s="80"/>
      <c r="L17" s="80"/>
      <c r="M17" s="80" t="s">
        <v>159</v>
      </c>
    </row>
    <row r="18" spans="1:13" ht="44.25" customHeight="1">
      <c r="A18" s="4" t="s">
        <v>430</v>
      </c>
      <c r="B18" s="3" t="s">
        <v>431</v>
      </c>
      <c r="C18" s="4" t="s">
        <v>459</v>
      </c>
      <c r="D18" s="3" t="s">
        <v>455</v>
      </c>
      <c r="E18" s="1" t="s">
        <v>460</v>
      </c>
      <c r="F18" s="53" t="s">
        <v>461</v>
      </c>
      <c r="G18" s="3" t="s">
        <v>123</v>
      </c>
      <c r="H18" s="1" t="s">
        <v>53</v>
      </c>
      <c r="I18" s="5" t="s">
        <v>462</v>
      </c>
      <c r="J18" s="80" t="s">
        <v>113</v>
      </c>
      <c r="K18" s="80"/>
      <c r="L18" s="80"/>
      <c r="M18" s="80" t="s">
        <v>159</v>
      </c>
    </row>
  </sheetData>
  <autoFilter ref="A2:G2" xr:uid="{1842821A-DC8F-40A6-A76D-6AD7DBDA3DE2}"/>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2CB43-4F03-439C-B85B-7990AE3FB58F}">
  <sheetPr>
    <tabColor theme="9" tint="0.79998168889431442"/>
  </sheetPr>
  <dimension ref="A1:N3"/>
  <sheetViews>
    <sheetView topLeftCell="E1" zoomScale="120" zoomScaleNormal="120" workbookViewId="0">
      <selection activeCell="AM10" sqref="AM10"/>
    </sheetView>
  </sheetViews>
  <sheetFormatPr defaultColWidth="8.5703125" defaultRowHeight="15"/>
  <cols>
    <col min="1" max="1" width="13.42578125" style="2" customWidth="1"/>
    <col min="2" max="2" width="34.85546875" style="2" customWidth="1"/>
    <col min="3" max="3" width="22.42578125" style="2" bestFit="1" customWidth="1"/>
    <col min="4" max="4" width="37.140625" style="2" customWidth="1"/>
    <col min="5" max="5" width="80.85546875" style="2" customWidth="1"/>
    <col min="6" max="6" width="56.85546875" style="2" customWidth="1"/>
    <col min="7" max="7" width="26.42578125" style="2" customWidth="1"/>
    <col min="8" max="8" width="58.42578125" style="2" customWidth="1"/>
    <col min="9" max="16384" width="8.5703125" style="2"/>
  </cols>
  <sheetData>
    <row r="1" spans="1:14">
      <c r="F1" s="54">
        <v>1</v>
      </c>
    </row>
    <row r="2" spans="1:14" ht="72.75">
      <c r="A2" s="88" t="s">
        <v>91</v>
      </c>
      <c r="B2" s="88" t="s">
        <v>92</v>
      </c>
      <c r="C2" s="88" t="s">
        <v>93</v>
      </c>
      <c r="D2" s="88" t="s">
        <v>94</v>
      </c>
      <c r="E2" s="88" t="s">
        <v>95</v>
      </c>
      <c r="F2" s="88" t="s">
        <v>96</v>
      </c>
      <c r="G2" s="89" t="s">
        <v>97</v>
      </c>
      <c r="H2" s="89" t="s">
        <v>98</v>
      </c>
      <c r="I2" s="90" t="s">
        <v>99</v>
      </c>
      <c r="J2" s="91" t="s">
        <v>100</v>
      </c>
      <c r="K2" s="92" t="s">
        <v>101</v>
      </c>
      <c r="L2" s="92" t="s">
        <v>102</v>
      </c>
      <c r="M2" s="92" t="s">
        <v>103</v>
      </c>
      <c r="N2" s="93"/>
    </row>
    <row r="3" spans="1:14" ht="96.95" customHeight="1">
      <c r="A3" s="4" t="s">
        <v>463</v>
      </c>
      <c r="B3" s="3" t="s">
        <v>464</v>
      </c>
      <c r="C3" s="4" t="s">
        <v>465</v>
      </c>
      <c r="D3" s="1" t="s">
        <v>466</v>
      </c>
      <c r="E3" s="1" t="s">
        <v>467</v>
      </c>
      <c r="F3" s="58" t="s">
        <v>468</v>
      </c>
      <c r="G3" s="3" t="s">
        <v>110</v>
      </c>
      <c r="H3" s="82" t="s">
        <v>469</v>
      </c>
      <c r="I3" s="86" t="s">
        <v>470</v>
      </c>
      <c r="J3" s="80"/>
      <c r="K3" s="80" t="s">
        <v>113</v>
      </c>
      <c r="L3" s="83" t="s">
        <v>471</v>
      </c>
      <c r="M3" s="80"/>
    </row>
  </sheetData>
  <autoFilter ref="A2:G2" xr:uid="{1842821A-DC8F-40A6-A76D-6AD7DBDA3DE2}"/>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97CC1-1BD4-43E5-A4FC-8A371EC54010}">
  <sheetPr>
    <tabColor theme="9" tint="0.79998168889431442"/>
  </sheetPr>
  <dimension ref="A1:N14"/>
  <sheetViews>
    <sheetView zoomScale="78" zoomScaleNormal="214" workbookViewId="0">
      <selection activeCell="E4" sqref="E4"/>
    </sheetView>
  </sheetViews>
  <sheetFormatPr defaultColWidth="8.5703125" defaultRowHeight="15"/>
  <cols>
    <col min="1" max="1" width="13.42578125" style="2" customWidth="1"/>
    <col min="2" max="2" width="51.85546875" style="2" bestFit="1" customWidth="1"/>
    <col min="3" max="3" width="22.42578125" style="2" bestFit="1" customWidth="1"/>
    <col min="4" max="4" width="57" style="2" bestFit="1" customWidth="1"/>
    <col min="5" max="5" width="80.85546875" style="2" customWidth="1"/>
    <col min="6" max="6" width="56.85546875" style="2" customWidth="1"/>
    <col min="7" max="7" width="26.42578125" style="2" customWidth="1"/>
    <col min="8" max="8" width="39.42578125" style="2" customWidth="1"/>
    <col min="9" max="9" width="54.85546875" style="2" customWidth="1"/>
    <col min="10" max="11" width="8.5703125" style="2"/>
    <col min="12" max="12" width="19.42578125" style="2" customWidth="1"/>
    <col min="13" max="13" width="18.42578125" style="2" customWidth="1"/>
    <col min="14" max="16384" width="8.5703125" style="2"/>
  </cols>
  <sheetData>
    <row r="1" spans="1:14">
      <c r="F1" s="54">
        <f>(11/12)</f>
        <v>0.91666666666666663</v>
      </c>
    </row>
    <row r="2" spans="1:14" ht="72.75">
      <c r="A2" s="88" t="s">
        <v>91</v>
      </c>
      <c r="B2" s="88" t="s">
        <v>92</v>
      </c>
      <c r="C2" s="88" t="s">
        <v>93</v>
      </c>
      <c r="D2" s="88" t="s">
        <v>94</v>
      </c>
      <c r="E2" s="88" t="s">
        <v>95</v>
      </c>
      <c r="F2" s="88" t="s">
        <v>96</v>
      </c>
      <c r="G2" s="89" t="s">
        <v>97</v>
      </c>
      <c r="H2" s="89" t="s">
        <v>98</v>
      </c>
      <c r="I2" s="90" t="s">
        <v>99</v>
      </c>
      <c r="J2" s="91" t="s">
        <v>100</v>
      </c>
      <c r="K2" s="92" t="s">
        <v>101</v>
      </c>
      <c r="L2" s="92" t="s">
        <v>102</v>
      </c>
      <c r="M2" s="92" t="s">
        <v>103</v>
      </c>
      <c r="N2" s="93"/>
    </row>
    <row r="3" spans="1:14" ht="390">
      <c r="A3" s="4" t="s">
        <v>472</v>
      </c>
      <c r="B3" s="3" t="s">
        <v>473</v>
      </c>
      <c r="C3" s="4" t="s">
        <v>474</v>
      </c>
      <c r="D3" s="3" t="s">
        <v>475</v>
      </c>
      <c r="E3" s="1" t="s">
        <v>476</v>
      </c>
      <c r="F3" s="56" t="s">
        <v>477</v>
      </c>
      <c r="G3" s="3" t="s">
        <v>110</v>
      </c>
      <c r="H3" s="1" t="s">
        <v>53</v>
      </c>
      <c r="I3" s="5" t="s">
        <v>478</v>
      </c>
      <c r="J3" s="80" t="s">
        <v>113</v>
      </c>
      <c r="K3" s="80"/>
      <c r="L3" s="80"/>
      <c r="M3" s="80"/>
    </row>
    <row r="4" spans="1:14" ht="405">
      <c r="A4" s="4" t="s">
        <v>472</v>
      </c>
      <c r="B4" s="3" t="s">
        <v>473</v>
      </c>
      <c r="C4" s="4" t="s">
        <v>479</v>
      </c>
      <c r="D4" s="3" t="s">
        <v>480</v>
      </c>
      <c r="E4" s="1" t="s">
        <v>481</v>
      </c>
      <c r="F4" s="55" t="s">
        <v>482</v>
      </c>
      <c r="G4" s="3" t="s">
        <v>110</v>
      </c>
      <c r="H4" s="3" t="s">
        <v>164</v>
      </c>
      <c r="I4" s="5" t="s">
        <v>483</v>
      </c>
      <c r="J4" s="80"/>
      <c r="K4" s="80" t="s">
        <v>113</v>
      </c>
      <c r="L4" s="83" t="s">
        <v>484</v>
      </c>
      <c r="M4" s="80"/>
    </row>
    <row r="5" spans="1:14" ht="409.6">
      <c r="A5" s="4" t="s">
        <v>472</v>
      </c>
      <c r="B5" s="3" t="s">
        <v>485</v>
      </c>
      <c r="C5" s="4" t="s">
        <v>486</v>
      </c>
      <c r="D5" s="3" t="s">
        <v>487</v>
      </c>
      <c r="E5" s="1" t="s">
        <v>488</v>
      </c>
      <c r="F5" s="57" t="s">
        <v>489</v>
      </c>
      <c r="G5" s="3" t="s">
        <v>110</v>
      </c>
      <c r="H5" s="1" t="s">
        <v>53</v>
      </c>
      <c r="I5" s="5" t="s">
        <v>490</v>
      </c>
      <c r="J5" s="80" t="s">
        <v>113</v>
      </c>
      <c r="K5" s="80"/>
      <c r="L5" s="80"/>
      <c r="M5" s="80"/>
    </row>
    <row r="6" spans="1:14" ht="409.6">
      <c r="A6" s="4" t="s">
        <v>491</v>
      </c>
      <c r="B6" s="3" t="s">
        <v>492</v>
      </c>
      <c r="C6" s="4" t="s">
        <v>493</v>
      </c>
      <c r="D6" s="3" t="s">
        <v>494</v>
      </c>
      <c r="E6" s="1" t="s">
        <v>495</v>
      </c>
      <c r="F6" s="55" t="s">
        <v>496</v>
      </c>
      <c r="G6" s="3" t="s">
        <v>110</v>
      </c>
      <c r="H6" s="1" t="s">
        <v>53</v>
      </c>
      <c r="I6" s="5" t="s">
        <v>497</v>
      </c>
      <c r="J6" s="80"/>
      <c r="K6" s="80" t="s">
        <v>113</v>
      </c>
      <c r="L6" s="83" t="s">
        <v>498</v>
      </c>
      <c r="M6" s="80"/>
    </row>
    <row r="7" spans="1:14" ht="409.6">
      <c r="A7" s="4" t="s">
        <v>499</v>
      </c>
      <c r="B7" s="3" t="s">
        <v>500</v>
      </c>
      <c r="C7" s="4" t="s">
        <v>501</v>
      </c>
      <c r="D7" s="3" t="s">
        <v>502</v>
      </c>
      <c r="E7" s="1" t="s">
        <v>503</v>
      </c>
      <c r="F7" s="55" t="s">
        <v>504</v>
      </c>
      <c r="G7" s="3" t="s">
        <v>110</v>
      </c>
      <c r="H7" s="1" t="s">
        <v>53</v>
      </c>
      <c r="I7" s="5" t="s">
        <v>505</v>
      </c>
      <c r="J7" s="80"/>
      <c r="K7" s="80" t="s">
        <v>113</v>
      </c>
      <c r="L7" s="83" t="s">
        <v>506</v>
      </c>
      <c r="M7" s="80"/>
    </row>
    <row r="8" spans="1:14" ht="409.6">
      <c r="A8" s="4" t="s">
        <v>499</v>
      </c>
      <c r="B8" s="3" t="s">
        <v>500</v>
      </c>
      <c r="C8" s="4" t="s">
        <v>507</v>
      </c>
      <c r="D8" s="3" t="s">
        <v>508</v>
      </c>
      <c r="E8" s="1" t="s">
        <v>509</v>
      </c>
      <c r="F8" s="55" t="s">
        <v>510</v>
      </c>
      <c r="G8" s="3" t="s">
        <v>110</v>
      </c>
      <c r="H8" s="1" t="s">
        <v>53</v>
      </c>
      <c r="I8" s="5" t="s">
        <v>511</v>
      </c>
      <c r="J8" s="80"/>
      <c r="K8" s="80" t="s">
        <v>113</v>
      </c>
      <c r="L8" s="83" t="s">
        <v>512</v>
      </c>
      <c r="M8" s="80"/>
    </row>
    <row r="9" spans="1:14" ht="409.6">
      <c r="A9" s="4" t="s">
        <v>499</v>
      </c>
      <c r="B9" s="3" t="s">
        <v>500</v>
      </c>
      <c r="C9" s="4" t="s">
        <v>513</v>
      </c>
      <c r="D9" s="3" t="s">
        <v>514</v>
      </c>
      <c r="E9" s="1" t="s">
        <v>515</v>
      </c>
      <c r="F9" s="55" t="s">
        <v>516</v>
      </c>
      <c r="G9" s="3" t="s">
        <v>110</v>
      </c>
      <c r="H9" s="1" t="s">
        <v>53</v>
      </c>
      <c r="I9" s="5" t="s">
        <v>517</v>
      </c>
      <c r="J9" s="80"/>
      <c r="K9" s="80" t="s">
        <v>113</v>
      </c>
      <c r="L9" s="83" t="s">
        <v>518</v>
      </c>
      <c r="M9" s="80"/>
    </row>
    <row r="10" spans="1:14" ht="409.6">
      <c r="A10" s="4" t="s">
        <v>519</v>
      </c>
      <c r="B10" s="3" t="s">
        <v>520</v>
      </c>
      <c r="C10" s="4" t="s">
        <v>521</v>
      </c>
      <c r="D10" s="3" t="s">
        <v>520</v>
      </c>
      <c r="E10" s="1" t="s">
        <v>522</v>
      </c>
      <c r="F10" s="55" t="s">
        <v>523</v>
      </c>
      <c r="G10" s="3" t="s">
        <v>110</v>
      </c>
      <c r="H10" s="1" t="s">
        <v>53</v>
      </c>
      <c r="I10" s="5" t="s">
        <v>524</v>
      </c>
      <c r="J10" s="80"/>
      <c r="K10" s="80" t="s">
        <v>113</v>
      </c>
      <c r="L10" s="83" t="s">
        <v>525</v>
      </c>
      <c r="M10" s="80"/>
    </row>
    <row r="11" spans="1:14" ht="409.6">
      <c r="A11" s="4" t="s">
        <v>526</v>
      </c>
      <c r="B11" s="3" t="s">
        <v>527</v>
      </c>
      <c r="C11" s="4" t="s">
        <v>528</v>
      </c>
      <c r="D11" s="1" t="s">
        <v>529</v>
      </c>
      <c r="E11" s="1" t="s">
        <v>530</v>
      </c>
      <c r="F11" s="55" t="s">
        <v>531</v>
      </c>
      <c r="G11" s="3" t="s">
        <v>110</v>
      </c>
      <c r="H11" s="1" t="s">
        <v>53</v>
      </c>
      <c r="I11" s="5" t="s">
        <v>532</v>
      </c>
      <c r="J11" s="80"/>
      <c r="K11" s="80" t="s">
        <v>113</v>
      </c>
      <c r="L11" s="83" t="s">
        <v>533</v>
      </c>
      <c r="M11" s="80"/>
    </row>
    <row r="12" spans="1:14" ht="409.6">
      <c r="A12" s="4" t="s">
        <v>526</v>
      </c>
      <c r="B12" s="3" t="s">
        <v>534</v>
      </c>
      <c r="C12" s="4" t="s">
        <v>535</v>
      </c>
      <c r="D12" s="3" t="s">
        <v>536</v>
      </c>
      <c r="E12" s="1" t="s">
        <v>537</v>
      </c>
      <c r="F12" s="55" t="s">
        <v>538</v>
      </c>
      <c r="G12" s="3" t="s">
        <v>110</v>
      </c>
      <c r="H12" s="1" t="s">
        <v>53</v>
      </c>
      <c r="I12" s="5" t="s">
        <v>539</v>
      </c>
      <c r="J12" s="80"/>
      <c r="K12" s="80" t="s">
        <v>113</v>
      </c>
      <c r="L12" s="83" t="s">
        <v>540</v>
      </c>
      <c r="M12" s="80"/>
    </row>
    <row r="13" spans="1:14" ht="409.6">
      <c r="A13" s="4" t="s">
        <v>526</v>
      </c>
      <c r="B13" s="3" t="s">
        <v>534</v>
      </c>
      <c r="C13" s="4" t="s">
        <v>541</v>
      </c>
      <c r="D13" s="3" t="s">
        <v>542</v>
      </c>
      <c r="E13" s="1" t="s">
        <v>543</v>
      </c>
      <c r="F13" s="53" t="s">
        <v>544</v>
      </c>
      <c r="G13" s="3" t="s">
        <v>110</v>
      </c>
      <c r="H13" s="1" t="s">
        <v>53</v>
      </c>
      <c r="I13" s="5" t="s">
        <v>545</v>
      </c>
      <c r="J13" s="80"/>
      <c r="K13" s="80" t="s">
        <v>113</v>
      </c>
      <c r="L13" s="83" t="s">
        <v>546</v>
      </c>
      <c r="M13" s="80"/>
    </row>
    <row r="14" spans="1:14" ht="409.6">
      <c r="A14" s="4" t="s">
        <v>526</v>
      </c>
      <c r="B14" s="3" t="s">
        <v>527</v>
      </c>
      <c r="C14" s="4" t="s">
        <v>547</v>
      </c>
      <c r="D14" s="3" t="s">
        <v>542</v>
      </c>
      <c r="E14" s="1" t="s">
        <v>548</v>
      </c>
      <c r="F14" s="53" t="s">
        <v>549</v>
      </c>
      <c r="G14" s="3" t="s">
        <v>123</v>
      </c>
      <c r="H14" s="1" t="s">
        <v>53</v>
      </c>
      <c r="I14" s="5" t="s">
        <v>550</v>
      </c>
      <c r="J14" s="80"/>
      <c r="K14" s="80" t="s">
        <v>113</v>
      </c>
      <c r="L14" s="83" t="s">
        <v>551</v>
      </c>
      <c r="M14" s="80"/>
    </row>
  </sheetData>
  <autoFilter ref="A2:G2" xr:uid="{1842821A-DC8F-40A6-A76D-6AD7DBDA3DE2}"/>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3DF02-56D0-438B-BF14-A4CC53DD3110}">
  <sheetPr>
    <tabColor theme="9" tint="0.79998168889431442"/>
  </sheetPr>
  <dimension ref="A2:N17"/>
  <sheetViews>
    <sheetView topLeftCell="E1" zoomScale="80" zoomScaleNormal="80" workbookViewId="0">
      <selection activeCell="A2" sqref="A2:XFD2"/>
    </sheetView>
  </sheetViews>
  <sheetFormatPr defaultColWidth="8.5703125" defaultRowHeight="15"/>
  <cols>
    <col min="1" max="1" width="13.42578125" style="2" customWidth="1"/>
    <col min="2" max="2" width="66.42578125" style="2" bestFit="1" customWidth="1"/>
    <col min="3" max="3" width="22.42578125" style="2" bestFit="1" customWidth="1"/>
    <col min="4" max="4" width="32.5703125" style="2" customWidth="1"/>
    <col min="5" max="5" width="80.85546875" style="2" customWidth="1"/>
    <col min="6" max="6" width="56.85546875" style="2" customWidth="1"/>
    <col min="7" max="7" width="26.42578125" style="2" customWidth="1"/>
    <col min="8" max="8" width="44.5703125" style="2" customWidth="1"/>
    <col min="9" max="9" width="71.28515625" style="2" customWidth="1"/>
    <col min="10" max="16384" width="8.5703125" style="2"/>
  </cols>
  <sheetData>
    <row r="2" spans="1:14" ht="72.75">
      <c r="A2" s="88" t="s">
        <v>91</v>
      </c>
      <c r="B2" s="88" t="s">
        <v>92</v>
      </c>
      <c r="C2" s="88" t="s">
        <v>93</v>
      </c>
      <c r="D2" s="88" t="s">
        <v>94</v>
      </c>
      <c r="E2" s="88" t="s">
        <v>95</v>
      </c>
      <c r="F2" s="88" t="s">
        <v>96</v>
      </c>
      <c r="G2" s="89" t="s">
        <v>97</v>
      </c>
      <c r="H2" s="89" t="s">
        <v>98</v>
      </c>
      <c r="I2" s="90" t="s">
        <v>99</v>
      </c>
      <c r="J2" s="91" t="s">
        <v>100</v>
      </c>
      <c r="K2" s="92" t="s">
        <v>101</v>
      </c>
      <c r="L2" s="92" t="s">
        <v>102</v>
      </c>
      <c r="M2" s="92" t="s">
        <v>103</v>
      </c>
      <c r="N2" s="93"/>
    </row>
    <row r="3" spans="1:14" ht="409.6">
      <c r="A3" s="4" t="s">
        <v>552</v>
      </c>
      <c r="B3" s="3" t="s">
        <v>553</v>
      </c>
      <c r="C3" s="4" t="s">
        <v>554</v>
      </c>
      <c r="D3" s="3" t="s">
        <v>555</v>
      </c>
      <c r="E3" s="1" t="s">
        <v>556</v>
      </c>
      <c r="F3" s="56" t="s">
        <v>557</v>
      </c>
      <c r="G3" s="3" t="s">
        <v>110</v>
      </c>
      <c r="H3" s="1" t="s">
        <v>53</v>
      </c>
      <c r="I3" s="5" t="s">
        <v>558</v>
      </c>
      <c r="J3" s="80" t="s">
        <v>113</v>
      </c>
      <c r="K3" s="80"/>
      <c r="L3" s="80"/>
      <c r="M3" s="80"/>
    </row>
    <row r="4" spans="1:14" ht="409.6">
      <c r="A4" s="4" t="s">
        <v>552</v>
      </c>
      <c r="B4" s="3" t="s">
        <v>553</v>
      </c>
      <c r="C4" s="4" t="s">
        <v>559</v>
      </c>
      <c r="D4" s="3" t="s">
        <v>560</v>
      </c>
      <c r="E4" s="1" t="s">
        <v>561</v>
      </c>
      <c r="F4" s="64" t="s">
        <v>562</v>
      </c>
      <c r="G4" s="3" t="s">
        <v>110</v>
      </c>
      <c r="H4" s="3" t="s">
        <v>164</v>
      </c>
      <c r="I4" s="5" t="s">
        <v>563</v>
      </c>
      <c r="J4" s="80" t="s">
        <v>113</v>
      </c>
      <c r="K4" s="80"/>
      <c r="L4" s="80"/>
      <c r="M4" s="80"/>
    </row>
    <row r="5" spans="1:14" ht="409.6">
      <c r="A5" s="4" t="s">
        <v>564</v>
      </c>
      <c r="B5" s="3" t="s">
        <v>565</v>
      </c>
      <c r="C5" s="4" t="s">
        <v>566</v>
      </c>
      <c r="D5" s="3" t="s">
        <v>567</v>
      </c>
      <c r="E5" s="1" t="s">
        <v>568</v>
      </c>
      <c r="F5" s="57" t="s">
        <v>569</v>
      </c>
      <c r="G5" s="3" t="s">
        <v>110</v>
      </c>
      <c r="H5" s="1" t="s">
        <v>53</v>
      </c>
      <c r="I5" s="5" t="s">
        <v>570</v>
      </c>
      <c r="J5" s="80" t="s">
        <v>113</v>
      </c>
      <c r="K5" s="80"/>
      <c r="L5" s="80"/>
      <c r="M5" s="80"/>
    </row>
    <row r="6" spans="1:14" ht="332.25">
      <c r="A6" s="4" t="s">
        <v>564</v>
      </c>
      <c r="B6" s="3" t="s">
        <v>565</v>
      </c>
      <c r="C6" s="4" t="s">
        <v>571</v>
      </c>
      <c r="D6" s="3" t="s">
        <v>572</v>
      </c>
      <c r="E6" s="1" t="s">
        <v>573</v>
      </c>
      <c r="F6" s="56" t="s">
        <v>574</v>
      </c>
      <c r="G6" s="3" t="s">
        <v>110</v>
      </c>
      <c r="H6" s="1" t="s">
        <v>53</v>
      </c>
      <c r="I6" s="5" t="s">
        <v>575</v>
      </c>
      <c r="J6" s="80" t="s">
        <v>113</v>
      </c>
      <c r="K6" s="80"/>
      <c r="L6" s="80"/>
      <c r="M6" s="80"/>
    </row>
    <row r="7" spans="1:14" ht="409.6">
      <c r="A7" s="4" t="s">
        <v>564</v>
      </c>
      <c r="B7" s="3" t="s">
        <v>565</v>
      </c>
      <c r="C7" s="4" t="s">
        <v>576</v>
      </c>
      <c r="D7" s="3" t="s">
        <v>577</v>
      </c>
      <c r="E7" s="1" t="s">
        <v>578</v>
      </c>
      <c r="F7" s="56" t="s">
        <v>579</v>
      </c>
      <c r="G7" s="3" t="s">
        <v>110</v>
      </c>
      <c r="H7" s="1" t="s">
        <v>53</v>
      </c>
      <c r="I7" s="5" t="s">
        <v>580</v>
      </c>
      <c r="J7" s="80" t="s">
        <v>113</v>
      </c>
      <c r="K7" s="80"/>
      <c r="L7" s="80"/>
      <c r="M7" s="80"/>
    </row>
    <row r="8" spans="1:14" ht="409.6">
      <c r="A8" s="4" t="s">
        <v>564</v>
      </c>
      <c r="B8" s="3" t="s">
        <v>565</v>
      </c>
      <c r="C8" s="4" t="s">
        <v>581</v>
      </c>
      <c r="D8" s="3" t="s">
        <v>582</v>
      </c>
      <c r="E8" s="1" t="s">
        <v>583</v>
      </c>
      <c r="F8" s="56" t="s">
        <v>584</v>
      </c>
      <c r="G8" s="3" t="s">
        <v>110</v>
      </c>
      <c r="H8" s="1" t="s">
        <v>53</v>
      </c>
      <c r="I8" s="5" t="s">
        <v>585</v>
      </c>
      <c r="J8" s="80" t="s">
        <v>113</v>
      </c>
      <c r="K8" s="80"/>
      <c r="L8" s="80"/>
      <c r="M8" s="80"/>
    </row>
    <row r="9" spans="1:14" ht="260.25">
      <c r="A9" s="4" t="s">
        <v>586</v>
      </c>
      <c r="B9" s="3" t="s">
        <v>587</v>
      </c>
      <c r="C9" s="4" t="s">
        <v>588</v>
      </c>
      <c r="D9" s="3" t="s">
        <v>589</v>
      </c>
      <c r="E9" s="1" t="s">
        <v>590</v>
      </c>
      <c r="F9" s="56" t="s">
        <v>591</v>
      </c>
      <c r="G9" s="3" t="s">
        <v>110</v>
      </c>
      <c r="H9" s="1" t="s">
        <v>53</v>
      </c>
      <c r="I9" s="5" t="s">
        <v>592</v>
      </c>
      <c r="J9" s="80" t="s">
        <v>113</v>
      </c>
      <c r="K9" s="80"/>
      <c r="L9" s="80"/>
      <c r="M9" s="80"/>
    </row>
    <row r="10" spans="1:14" ht="409.6">
      <c r="A10" s="4" t="s">
        <v>586</v>
      </c>
      <c r="B10" s="3" t="s">
        <v>587</v>
      </c>
      <c r="C10" s="4" t="s">
        <v>593</v>
      </c>
      <c r="D10" s="3" t="s">
        <v>594</v>
      </c>
      <c r="E10" s="1" t="s">
        <v>595</v>
      </c>
      <c r="F10" s="56" t="s">
        <v>596</v>
      </c>
      <c r="G10" s="3" t="s">
        <v>110</v>
      </c>
      <c r="H10" s="1" t="s">
        <v>53</v>
      </c>
      <c r="I10" s="5" t="s">
        <v>597</v>
      </c>
      <c r="J10" s="80" t="s">
        <v>113</v>
      </c>
      <c r="K10" s="80"/>
      <c r="L10" s="80"/>
      <c r="M10" s="80"/>
    </row>
    <row r="11" spans="1:14" ht="409.6">
      <c r="A11" s="4" t="s">
        <v>586</v>
      </c>
      <c r="B11" s="3" t="s">
        <v>587</v>
      </c>
      <c r="C11" s="4" t="s">
        <v>598</v>
      </c>
      <c r="D11" s="1" t="s">
        <v>599</v>
      </c>
      <c r="E11" s="1" t="s">
        <v>600</v>
      </c>
      <c r="F11" s="56" t="s">
        <v>601</v>
      </c>
      <c r="G11" s="3" t="s">
        <v>110</v>
      </c>
      <c r="H11" s="1" t="s">
        <v>53</v>
      </c>
      <c r="I11" s="5" t="s">
        <v>602</v>
      </c>
      <c r="J11" s="80" t="s">
        <v>113</v>
      </c>
      <c r="K11" s="80"/>
      <c r="L11" s="80"/>
      <c r="M11" s="80"/>
    </row>
    <row r="12" spans="1:14" ht="332.25">
      <c r="A12" s="4" t="s">
        <v>586</v>
      </c>
      <c r="B12" s="3" t="s">
        <v>587</v>
      </c>
      <c r="C12" s="4" t="s">
        <v>603</v>
      </c>
      <c r="D12" s="3" t="s">
        <v>604</v>
      </c>
      <c r="E12" s="1" t="s">
        <v>605</v>
      </c>
      <c r="F12" s="64" t="s">
        <v>606</v>
      </c>
      <c r="G12" s="3" t="s">
        <v>123</v>
      </c>
      <c r="H12" s="1" t="s">
        <v>53</v>
      </c>
      <c r="I12" s="5" t="s">
        <v>607</v>
      </c>
      <c r="J12" s="80" t="s">
        <v>113</v>
      </c>
      <c r="K12" s="80"/>
      <c r="L12" s="80"/>
      <c r="M12" s="80"/>
    </row>
    <row r="13" spans="1:14" ht="405">
      <c r="A13" s="4" t="s">
        <v>608</v>
      </c>
      <c r="B13" s="3" t="s">
        <v>609</v>
      </c>
      <c r="C13" s="4" t="s">
        <v>610</v>
      </c>
      <c r="D13" s="3" t="s">
        <v>611</v>
      </c>
      <c r="E13" s="1" t="s">
        <v>612</v>
      </c>
      <c r="F13" s="57" t="s">
        <v>613</v>
      </c>
      <c r="G13" s="3" t="s">
        <v>123</v>
      </c>
      <c r="H13" s="1" t="s">
        <v>53</v>
      </c>
      <c r="I13" s="5" t="s">
        <v>614</v>
      </c>
      <c r="J13" s="80" t="s">
        <v>113</v>
      </c>
      <c r="K13" s="80"/>
      <c r="L13" s="80"/>
      <c r="M13" s="80"/>
    </row>
    <row r="14" spans="1:14" ht="274.5">
      <c r="A14" s="4" t="s">
        <v>608</v>
      </c>
      <c r="B14" s="3" t="s">
        <v>609</v>
      </c>
      <c r="C14" s="4" t="s">
        <v>615</v>
      </c>
      <c r="D14" s="3" t="s">
        <v>611</v>
      </c>
      <c r="E14" s="1" t="s">
        <v>616</v>
      </c>
      <c r="F14" s="1" t="s">
        <v>617</v>
      </c>
      <c r="G14" s="3" t="s">
        <v>255</v>
      </c>
      <c r="H14" s="1" t="s">
        <v>53</v>
      </c>
      <c r="I14" s="5" t="s">
        <v>618</v>
      </c>
      <c r="J14" s="80" t="s">
        <v>113</v>
      </c>
      <c r="K14" s="80"/>
      <c r="L14" s="80"/>
      <c r="M14" s="80"/>
    </row>
    <row r="15" spans="1:14" ht="409.6">
      <c r="A15" s="4" t="s">
        <v>608</v>
      </c>
      <c r="B15" s="3" t="s">
        <v>609</v>
      </c>
      <c r="C15" s="4" t="s">
        <v>619</v>
      </c>
      <c r="D15" s="3" t="s">
        <v>620</v>
      </c>
      <c r="E15" s="1" t="s">
        <v>621</v>
      </c>
      <c r="F15" s="1" t="s">
        <v>622</v>
      </c>
      <c r="G15" s="3" t="s">
        <v>123</v>
      </c>
      <c r="H15" s="1" t="s">
        <v>53</v>
      </c>
      <c r="I15" s="5" t="s">
        <v>623</v>
      </c>
      <c r="J15" s="80" t="s">
        <v>113</v>
      </c>
      <c r="K15" s="80"/>
      <c r="L15" s="80"/>
      <c r="M15" s="80"/>
    </row>
    <row r="16" spans="1:14" ht="409.6">
      <c r="A16" s="4" t="s">
        <v>608</v>
      </c>
      <c r="B16" s="3" t="s">
        <v>609</v>
      </c>
      <c r="C16" s="4" t="s">
        <v>624</v>
      </c>
      <c r="D16" s="3" t="s">
        <v>625</v>
      </c>
      <c r="E16" s="1" t="s">
        <v>626</v>
      </c>
      <c r="F16" s="63" t="s">
        <v>627</v>
      </c>
      <c r="G16" s="3" t="s">
        <v>123</v>
      </c>
      <c r="H16" s="1" t="s">
        <v>53</v>
      </c>
      <c r="I16" s="5" t="s">
        <v>628</v>
      </c>
      <c r="J16" s="80" t="s">
        <v>113</v>
      </c>
      <c r="K16" s="80"/>
      <c r="L16" s="80"/>
      <c r="M16" s="80"/>
    </row>
    <row r="17" spans="1:13" ht="409.6">
      <c r="A17" s="4" t="s">
        <v>608</v>
      </c>
      <c r="B17" s="3" t="s">
        <v>609</v>
      </c>
      <c r="C17" s="4" t="s">
        <v>629</v>
      </c>
      <c r="D17" s="3" t="s">
        <v>630</v>
      </c>
      <c r="E17" s="1" t="s">
        <v>631</v>
      </c>
      <c r="F17" s="1" t="s">
        <v>632</v>
      </c>
      <c r="G17" s="3" t="s">
        <v>123</v>
      </c>
      <c r="H17" s="1" t="s">
        <v>53</v>
      </c>
      <c r="I17" s="76" t="s">
        <v>633</v>
      </c>
      <c r="J17" s="80" t="s">
        <v>113</v>
      </c>
      <c r="K17" s="80"/>
      <c r="L17" s="80"/>
      <c r="M17" s="80"/>
    </row>
  </sheetData>
  <autoFilter ref="A2:G2" xr:uid="{1842821A-DC8F-40A6-A76D-6AD7DBDA3DE2}"/>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E8F8F-1B0C-4CDC-9D22-8A00F35524FD}">
  <sheetPr>
    <tabColor theme="9" tint="0.79998168889431442"/>
  </sheetPr>
  <dimension ref="A1:N12"/>
  <sheetViews>
    <sheetView topLeftCell="G1" zoomScale="110" zoomScaleNormal="110" workbookViewId="0">
      <selection sqref="A1:N1"/>
    </sheetView>
  </sheetViews>
  <sheetFormatPr defaultColWidth="8.5703125" defaultRowHeight="15"/>
  <cols>
    <col min="1" max="1" width="13.42578125" style="2" customWidth="1"/>
    <col min="2" max="2" width="34" style="2" bestFit="1" customWidth="1"/>
    <col min="3" max="3" width="22.42578125" style="2" bestFit="1" customWidth="1"/>
    <col min="4" max="4" width="74.85546875" style="2" bestFit="1" customWidth="1"/>
    <col min="5" max="5" width="80.85546875" style="2" customWidth="1"/>
    <col min="6" max="6" width="64.42578125" style="2" bestFit="1" customWidth="1"/>
    <col min="7" max="7" width="26.42578125" style="2" customWidth="1"/>
    <col min="8" max="8" width="43.42578125" style="2" customWidth="1"/>
    <col min="9" max="9" width="41.42578125" style="2" customWidth="1"/>
    <col min="10" max="16384" width="8.5703125" style="2"/>
  </cols>
  <sheetData>
    <row r="1" spans="1:14" ht="72.75">
      <c r="A1" s="88" t="s">
        <v>91</v>
      </c>
      <c r="B1" s="88" t="s">
        <v>92</v>
      </c>
      <c r="C1" s="88" t="s">
        <v>93</v>
      </c>
      <c r="D1" s="88" t="s">
        <v>94</v>
      </c>
      <c r="E1" s="88" t="s">
        <v>95</v>
      </c>
      <c r="F1" s="88" t="s">
        <v>96</v>
      </c>
      <c r="G1" s="89" t="s">
        <v>97</v>
      </c>
      <c r="H1" s="89" t="s">
        <v>98</v>
      </c>
      <c r="I1" s="90" t="s">
        <v>99</v>
      </c>
      <c r="J1" s="91" t="s">
        <v>100</v>
      </c>
      <c r="K1" s="92" t="s">
        <v>101</v>
      </c>
      <c r="L1" s="92" t="s">
        <v>102</v>
      </c>
      <c r="M1" s="92" t="s">
        <v>103</v>
      </c>
      <c r="N1" s="93"/>
    </row>
    <row r="2" spans="1:14" ht="405">
      <c r="A2" s="4" t="s">
        <v>634</v>
      </c>
      <c r="B2" s="3" t="s">
        <v>635</v>
      </c>
      <c r="C2" s="4" t="s">
        <v>636</v>
      </c>
      <c r="D2" s="3" t="s">
        <v>637</v>
      </c>
      <c r="E2" s="1" t="s">
        <v>638</v>
      </c>
      <c r="F2" s="56" t="s">
        <v>639</v>
      </c>
      <c r="G2" s="3" t="s">
        <v>110</v>
      </c>
      <c r="H2" s="12" t="s">
        <v>140</v>
      </c>
      <c r="I2" s="5" t="s">
        <v>640</v>
      </c>
      <c r="J2" s="80" t="s">
        <v>113</v>
      </c>
      <c r="K2" s="80"/>
      <c r="L2" s="80"/>
      <c r="M2" s="80"/>
    </row>
    <row r="3" spans="1:14" ht="409.6">
      <c r="A3" s="4" t="s">
        <v>634</v>
      </c>
      <c r="B3" s="3" t="s">
        <v>635</v>
      </c>
      <c r="C3" s="4" t="s">
        <v>641</v>
      </c>
      <c r="D3" s="3" t="s">
        <v>642</v>
      </c>
      <c r="E3" s="1" t="s">
        <v>643</v>
      </c>
      <c r="F3" s="64" t="s">
        <v>644</v>
      </c>
      <c r="G3" s="3" t="s">
        <v>110</v>
      </c>
      <c r="H3" s="1" t="s">
        <v>140</v>
      </c>
      <c r="I3" s="5" t="s">
        <v>645</v>
      </c>
      <c r="J3" s="80" t="s">
        <v>113</v>
      </c>
      <c r="K3" s="80"/>
      <c r="L3" s="80"/>
      <c r="M3" s="80"/>
    </row>
    <row r="4" spans="1:14" ht="405">
      <c r="A4" s="4" t="s">
        <v>634</v>
      </c>
      <c r="B4" s="3" t="s">
        <v>635</v>
      </c>
      <c r="C4" s="4" t="s">
        <v>646</v>
      </c>
      <c r="D4" s="3" t="s">
        <v>647</v>
      </c>
      <c r="E4" s="1" t="s">
        <v>648</v>
      </c>
      <c r="F4" s="57" t="s">
        <v>649</v>
      </c>
      <c r="G4" s="3" t="s">
        <v>110</v>
      </c>
      <c r="H4" s="1" t="s">
        <v>53</v>
      </c>
      <c r="I4" s="5" t="s">
        <v>650</v>
      </c>
      <c r="J4" s="80" t="s">
        <v>113</v>
      </c>
      <c r="K4" s="80"/>
      <c r="L4" s="80"/>
      <c r="M4" s="80"/>
    </row>
    <row r="5" spans="1:14" ht="188.25">
      <c r="A5" s="4" t="s">
        <v>634</v>
      </c>
      <c r="B5" s="3" t="s">
        <v>635</v>
      </c>
      <c r="C5" s="4" t="s">
        <v>651</v>
      </c>
      <c r="D5" s="3" t="s">
        <v>652</v>
      </c>
      <c r="E5" s="1" t="s">
        <v>653</v>
      </c>
      <c r="F5" s="64" t="s">
        <v>654</v>
      </c>
      <c r="G5" s="3" t="s">
        <v>110</v>
      </c>
      <c r="H5" s="1" t="s">
        <v>53</v>
      </c>
      <c r="I5" s="5" t="s">
        <v>655</v>
      </c>
      <c r="J5" s="80" t="s">
        <v>113</v>
      </c>
      <c r="K5" s="80"/>
      <c r="L5" s="80"/>
      <c r="M5" s="80"/>
    </row>
    <row r="6" spans="1:14" ht="409.6">
      <c r="A6" s="4" t="s">
        <v>656</v>
      </c>
      <c r="B6" s="3" t="s">
        <v>657</v>
      </c>
      <c r="C6" s="4" t="s">
        <v>658</v>
      </c>
      <c r="D6" s="3" t="s">
        <v>659</v>
      </c>
      <c r="E6" s="1" t="s">
        <v>660</v>
      </c>
      <c r="F6" s="56" t="s">
        <v>661</v>
      </c>
      <c r="G6" s="3" t="s">
        <v>110</v>
      </c>
      <c r="H6" s="1" t="s">
        <v>53</v>
      </c>
      <c r="I6" s="5" t="s">
        <v>662</v>
      </c>
      <c r="J6" s="80" t="s">
        <v>113</v>
      </c>
      <c r="K6" s="80"/>
      <c r="L6" s="80"/>
      <c r="M6" s="80"/>
    </row>
    <row r="7" spans="1:14" ht="130.5">
      <c r="A7" s="4" t="s">
        <v>656</v>
      </c>
      <c r="B7" s="3" t="s">
        <v>657</v>
      </c>
      <c r="C7" s="4" t="s">
        <v>663</v>
      </c>
      <c r="D7" s="3" t="s">
        <v>664</v>
      </c>
      <c r="E7" s="1" t="s">
        <v>665</v>
      </c>
      <c r="F7" s="5" t="s">
        <v>666</v>
      </c>
      <c r="G7" s="3" t="s">
        <v>110</v>
      </c>
      <c r="H7" s="1" t="s">
        <v>53</v>
      </c>
      <c r="I7" s="5" t="s">
        <v>667</v>
      </c>
      <c r="J7" s="80" t="s">
        <v>113</v>
      </c>
      <c r="K7" s="80"/>
      <c r="L7" s="80"/>
      <c r="M7" s="80"/>
    </row>
    <row r="8" spans="1:14" ht="90">
      <c r="A8" s="4" t="s">
        <v>668</v>
      </c>
      <c r="B8" s="3" t="s">
        <v>669</v>
      </c>
      <c r="C8" s="4" t="s">
        <v>670</v>
      </c>
      <c r="D8" s="3" t="s">
        <v>671</v>
      </c>
      <c r="E8" s="1" t="s">
        <v>672</v>
      </c>
      <c r="F8" s="5" t="s">
        <v>673</v>
      </c>
      <c r="G8" s="3" t="s">
        <v>123</v>
      </c>
      <c r="H8" s="1" t="s">
        <v>53</v>
      </c>
      <c r="I8" s="5" t="s">
        <v>674</v>
      </c>
      <c r="J8" s="80" t="s">
        <v>113</v>
      </c>
      <c r="K8" s="80"/>
      <c r="L8" s="80"/>
      <c r="M8" s="80"/>
    </row>
    <row r="9" spans="1:14" ht="188.25">
      <c r="A9" s="4" t="s">
        <v>668</v>
      </c>
      <c r="B9" s="3" t="s">
        <v>669</v>
      </c>
      <c r="C9" s="4" t="s">
        <v>675</v>
      </c>
      <c r="D9" s="3" t="s">
        <v>676</v>
      </c>
      <c r="E9" s="1" t="s">
        <v>677</v>
      </c>
      <c r="F9" s="5" t="s">
        <v>678</v>
      </c>
      <c r="G9" s="3" t="s">
        <v>123</v>
      </c>
      <c r="H9" s="1" t="s">
        <v>53</v>
      </c>
      <c r="I9" s="5" t="s">
        <v>679</v>
      </c>
      <c r="J9" s="80" t="s">
        <v>113</v>
      </c>
      <c r="K9" s="80"/>
      <c r="L9" s="80"/>
      <c r="M9" s="80"/>
    </row>
    <row r="10" spans="1:14" ht="135">
      <c r="A10" s="4" t="s">
        <v>680</v>
      </c>
      <c r="B10" s="3" t="s">
        <v>681</v>
      </c>
      <c r="C10" s="4" t="s">
        <v>682</v>
      </c>
      <c r="D10" s="1" t="s">
        <v>683</v>
      </c>
      <c r="E10" s="1" t="s">
        <v>684</v>
      </c>
      <c r="F10" s="65" t="s">
        <v>685</v>
      </c>
      <c r="G10" s="3" t="s">
        <v>123</v>
      </c>
      <c r="H10" s="1" t="s">
        <v>53</v>
      </c>
      <c r="I10" s="5" t="s">
        <v>686</v>
      </c>
      <c r="J10" s="80" t="s">
        <v>113</v>
      </c>
      <c r="K10" s="80"/>
      <c r="L10" s="80"/>
      <c r="M10" s="80"/>
    </row>
    <row r="11" spans="1:14" ht="303.75">
      <c r="A11" s="4" t="s">
        <v>680</v>
      </c>
      <c r="B11" s="3" t="s">
        <v>681</v>
      </c>
      <c r="C11" s="4" t="s">
        <v>687</v>
      </c>
      <c r="D11" s="3" t="s">
        <v>688</v>
      </c>
      <c r="E11" s="1" t="s">
        <v>689</v>
      </c>
      <c r="F11" s="57" t="s">
        <v>690</v>
      </c>
      <c r="G11" s="3" t="s">
        <v>123</v>
      </c>
      <c r="H11" s="1" t="s">
        <v>53</v>
      </c>
      <c r="I11" s="5" t="s">
        <v>691</v>
      </c>
      <c r="J11" s="80" t="s">
        <v>113</v>
      </c>
      <c r="K11" s="80"/>
      <c r="L11" s="80"/>
      <c r="M11" s="80"/>
    </row>
    <row r="12" spans="1:14" ht="303.75">
      <c r="A12" s="4" t="s">
        <v>680</v>
      </c>
      <c r="B12" s="3" t="s">
        <v>681</v>
      </c>
      <c r="C12" s="4" t="s">
        <v>692</v>
      </c>
      <c r="D12" s="3" t="s">
        <v>693</v>
      </c>
      <c r="E12" s="1" t="s">
        <v>694</v>
      </c>
      <c r="F12" s="57" t="s">
        <v>695</v>
      </c>
      <c r="G12" s="3" t="s">
        <v>255</v>
      </c>
      <c r="H12" s="1" t="s">
        <v>53</v>
      </c>
      <c r="I12" s="5" t="s">
        <v>696</v>
      </c>
      <c r="J12" s="80" t="s">
        <v>113</v>
      </c>
      <c r="K12" s="80"/>
      <c r="L12" s="80"/>
      <c r="M12" s="80"/>
    </row>
  </sheetData>
  <autoFilter ref="A1:G1" xr:uid="{1842821A-DC8F-40A6-A76D-6AD7DBDA3DE2}"/>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8B94-F3BA-4A45-8557-BEA7727DBDEF}">
  <sheetPr>
    <tabColor theme="9" tint="0.79998168889431442"/>
  </sheetPr>
  <dimension ref="A1:N13"/>
  <sheetViews>
    <sheetView topLeftCell="F2" zoomScale="110" zoomScaleNormal="110" workbookViewId="0">
      <selection sqref="A1:XFD1"/>
    </sheetView>
  </sheetViews>
  <sheetFormatPr defaultColWidth="8.5703125" defaultRowHeight="15"/>
  <cols>
    <col min="1" max="1" width="13.42578125" style="2" customWidth="1"/>
    <col min="2" max="2" width="40.85546875" style="2" bestFit="1" customWidth="1"/>
    <col min="3" max="3" width="22.42578125" style="2" bestFit="1" customWidth="1"/>
    <col min="4" max="4" width="42.140625" style="2" bestFit="1" customWidth="1"/>
    <col min="5" max="5" width="80.85546875" style="2" customWidth="1"/>
    <col min="6" max="6" width="56.85546875" style="2" customWidth="1"/>
    <col min="7" max="7" width="26.42578125" style="2" customWidth="1"/>
    <col min="8" max="8" width="48.42578125" style="2" customWidth="1"/>
    <col min="9" max="9" width="30.85546875" style="2" customWidth="1"/>
    <col min="10" max="16384" width="8.5703125" style="2"/>
  </cols>
  <sheetData>
    <row r="1" spans="1:14" ht="72.75">
      <c r="A1" s="88" t="s">
        <v>91</v>
      </c>
      <c r="B1" s="88" t="s">
        <v>92</v>
      </c>
      <c r="C1" s="88" t="s">
        <v>93</v>
      </c>
      <c r="D1" s="88" t="s">
        <v>94</v>
      </c>
      <c r="E1" s="88" t="s">
        <v>95</v>
      </c>
      <c r="F1" s="88" t="s">
        <v>96</v>
      </c>
      <c r="G1" s="89" t="s">
        <v>97</v>
      </c>
      <c r="H1" s="89" t="s">
        <v>98</v>
      </c>
      <c r="I1" s="90" t="s">
        <v>99</v>
      </c>
      <c r="J1" s="91" t="s">
        <v>100</v>
      </c>
      <c r="K1" s="92" t="s">
        <v>101</v>
      </c>
      <c r="L1" s="92" t="s">
        <v>102</v>
      </c>
      <c r="M1" s="92" t="s">
        <v>103</v>
      </c>
      <c r="N1" s="93"/>
    </row>
    <row r="2" spans="1:14" ht="390">
      <c r="A2" s="4" t="s">
        <v>697</v>
      </c>
      <c r="B2" s="3" t="s">
        <v>698</v>
      </c>
      <c r="C2" s="4" t="s">
        <v>699</v>
      </c>
      <c r="D2" s="3" t="s">
        <v>700</v>
      </c>
      <c r="E2" s="1" t="s">
        <v>701</v>
      </c>
      <c r="F2" s="5" t="s">
        <v>702</v>
      </c>
      <c r="G2" s="3" t="s">
        <v>110</v>
      </c>
      <c r="H2" s="1" t="s">
        <v>703</v>
      </c>
      <c r="I2" s="5" t="s">
        <v>704</v>
      </c>
      <c r="J2" s="80" t="s">
        <v>113</v>
      </c>
      <c r="K2" s="80"/>
      <c r="L2" s="80"/>
      <c r="M2" s="80"/>
    </row>
    <row r="3" spans="1:14" ht="346.5">
      <c r="A3" s="4" t="s">
        <v>697</v>
      </c>
      <c r="B3" s="3" t="s">
        <v>698</v>
      </c>
      <c r="C3" s="4" t="s">
        <v>705</v>
      </c>
      <c r="D3" s="3" t="s">
        <v>706</v>
      </c>
      <c r="E3" s="1" t="s">
        <v>707</v>
      </c>
      <c r="F3" s="5" t="s">
        <v>708</v>
      </c>
      <c r="G3" s="3" t="s">
        <v>110</v>
      </c>
      <c r="H3" s="1" t="s">
        <v>709</v>
      </c>
      <c r="I3" s="5" t="s">
        <v>710</v>
      </c>
      <c r="J3" s="80" t="s">
        <v>113</v>
      </c>
      <c r="K3" s="80"/>
      <c r="L3" s="80"/>
      <c r="M3" s="80"/>
    </row>
    <row r="4" spans="1:14" ht="288.75">
      <c r="A4" s="4" t="s">
        <v>711</v>
      </c>
      <c r="B4" s="3" t="s">
        <v>712</v>
      </c>
      <c r="C4" s="4" t="s">
        <v>713</v>
      </c>
      <c r="D4" s="3" t="s">
        <v>714</v>
      </c>
      <c r="E4" s="1" t="s">
        <v>715</v>
      </c>
      <c r="F4" s="57" t="s">
        <v>716</v>
      </c>
      <c r="G4" s="3" t="s">
        <v>110</v>
      </c>
      <c r="H4" s="3" t="s">
        <v>164</v>
      </c>
      <c r="I4" s="5" t="s">
        <v>717</v>
      </c>
      <c r="J4" s="80" t="s">
        <v>113</v>
      </c>
      <c r="K4" s="80"/>
      <c r="L4" s="80"/>
      <c r="M4" s="80"/>
    </row>
    <row r="5" spans="1:14" ht="318">
      <c r="A5" s="4" t="s">
        <v>711</v>
      </c>
      <c r="B5" s="3" t="s">
        <v>712</v>
      </c>
      <c r="C5" s="4" t="s">
        <v>718</v>
      </c>
      <c r="D5" s="3" t="s">
        <v>719</v>
      </c>
      <c r="E5" s="1" t="s">
        <v>720</v>
      </c>
      <c r="F5" s="56" t="s">
        <v>721</v>
      </c>
      <c r="G5" s="3" t="s">
        <v>110</v>
      </c>
      <c r="H5" s="3" t="s">
        <v>164</v>
      </c>
      <c r="I5" s="5" t="s">
        <v>722</v>
      </c>
      <c r="J5" s="80" t="s">
        <v>113</v>
      </c>
      <c r="K5" s="80"/>
      <c r="L5" s="80"/>
      <c r="M5" s="80"/>
    </row>
    <row r="6" spans="1:14" ht="332.25">
      <c r="A6" s="4" t="s">
        <v>723</v>
      </c>
      <c r="B6" s="3" t="s">
        <v>724</v>
      </c>
      <c r="C6" s="4" t="s">
        <v>725</v>
      </c>
      <c r="D6" s="3" t="s">
        <v>726</v>
      </c>
      <c r="E6" s="1" t="s">
        <v>727</v>
      </c>
      <c r="F6" s="5" t="s">
        <v>728</v>
      </c>
      <c r="G6" s="3" t="s">
        <v>110</v>
      </c>
      <c r="H6" s="1" t="s">
        <v>729</v>
      </c>
      <c r="I6" s="5" t="s">
        <v>730</v>
      </c>
      <c r="J6" s="80" t="s">
        <v>113</v>
      </c>
      <c r="K6" s="80"/>
      <c r="L6" s="80"/>
      <c r="M6" s="80"/>
    </row>
    <row r="7" spans="1:14" ht="303.75">
      <c r="A7" s="4" t="s">
        <v>723</v>
      </c>
      <c r="B7" s="3" t="s">
        <v>724</v>
      </c>
      <c r="C7" s="4" t="s">
        <v>731</v>
      </c>
      <c r="D7" s="3" t="s">
        <v>732</v>
      </c>
      <c r="E7" s="1" t="s">
        <v>733</v>
      </c>
      <c r="F7" s="5" t="s">
        <v>734</v>
      </c>
      <c r="G7" s="3" t="s">
        <v>110</v>
      </c>
      <c r="H7" s="3" t="s">
        <v>53</v>
      </c>
      <c r="I7" s="5" t="s">
        <v>735</v>
      </c>
      <c r="J7" s="80" t="s">
        <v>113</v>
      </c>
      <c r="K7" s="80"/>
      <c r="L7" s="80"/>
      <c r="M7" s="80"/>
    </row>
    <row r="8" spans="1:14" ht="409.6">
      <c r="A8" s="4" t="s">
        <v>736</v>
      </c>
      <c r="B8" s="3" t="s">
        <v>737</v>
      </c>
      <c r="C8" s="4" t="s">
        <v>738</v>
      </c>
      <c r="D8" s="3" t="s">
        <v>739</v>
      </c>
      <c r="E8" s="1" t="s">
        <v>740</v>
      </c>
      <c r="F8" s="5" t="s">
        <v>741</v>
      </c>
      <c r="G8" s="3" t="s">
        <v>110</v>
      </c>
      <c r="H8" s="1" t="s">
        <v>742</v>
      </c>
      <c r="I8" s="5" t="s">
        <v>743</v>
      </c>
      <c r="J8" s="80" t="s">
        <v>113</v>
      </c>
      <c r="K8" s="80"/>
      <c r="L8" s="80"/>
      <c r="M8" s="80"/>
    </row>
    <row r="9" spans="1:14" ht="231">
      <c r="A9" s="4" t="s">
        <v>736</v>
      </c>
      <c r="B9" s="3" t="s">
        <v>737</v>
      </c>
      <c r="C9" s="4" t="s">
        <v>744</v>
      </c>
      <c r="D9" s="3" t="s">
        <v>745</v>
      </c>
      <c r="E9" s="1" t="s">
        <v>746</v>
      </c>
      <c r="F9" s="5" t="s">
        <v>747</v>
      </c>
      <c r="G9" s="3" t="s">
        <v>110</v>
      </c>
      <c r="H9" s="3" t="s">
        <v>53</v>
      </c>
      <c r="I9" s="5" t="s">
        <v>748</v>
      </c>
      <c r="J9" s="80" t="s">
        <v>113</v>
      </c>
      <c r="K9" s="80"/>
      <c r="L9" s="80"/>
      <c r="M9" s="80"/>
    </row>
    <row r="10" spans="1:14" ht="144.75">
      <c r="A10" s="4" t="s">
        <v>736</v>
      </c>
      <c r="B10" s="3" t="s">
        <v>737</v>
      </c>
      <c r="C10" s="4" t="s">
        <v>749</v>
      </c>
      <c r="D10" s="1" t="s">
        <v>750</v>
      </c>
      <c r="E10" s="1" t="s">
        <v>751</v>
      </c>
      <c r="F10" s="65" t="s">
        <v>752</v>
      </c>
      <c r="G10" s="3" t="s">
        <v>110</v>
      </c>
      <c r="H10" s="3" t="s">
        <v>53</v>
      </c>
      <c r="I10" s="5" t="s">
        <v>753</v>
      </c>
      <c r="J10" s="80" t="s">
        <v>113</v>
      </c>
      <c r="K10" s="80"/>
      <c r="L10" s="80"/>
      <c r="M10" s="80"/>
    </row>
    <row r="11" spans="1:14" ht="288.75">
      <c r="A11" s="4" t="s">
        <v>736</v>
      </c>
      <c r="B11" s="3" t="s">
        <v>737</v>
      </c>
      <c r="C11" s="4" t="s">
        <v>754</v>
      </c>
      <c r="D11" s="3" t="s">
        <v>755</v>
      </c>
      <c r="E11" s="1" t="s">
        <v>756</v>
      </c>
      <c r="F11" s="1" t="s">
        <v>757</v>
      </c>
      <c r="G11" s="3" t="s">
        <v>110</v>
      </c>
      <c r="H11" s="3" t="s">
        <v>164</v>
      </c>
      <c r="I11" s="5" t="s">
        <v>758</v>
      </c>
      <c r="J11" s="80" t="s">
        <v>113</v>
      </c>
      <c r="K11" s="80"/>
      <c r="L11" s="80"/>
      <c r="M11" s="80"/>
    </row>
    <row r="12" spans="1:14" ht="75.75">
      <c r="A12" s="4" t="s">
        <v>736</v>
      </c>
      <c r="B12" s="3" t="s">
        <v>737</v>
      </c>
      <c r="C12" s="4" t="s">
        <v>759</v>
      </c>
      <c r="D12" s="3" t="s">
        <v>755</v>
      </c>
      <c r="E12" s="1" t="s">
        <v>760</v>
      </c>
      <c r="F12" s="63" t="s">
        <v>761</v>
      </c>
      <c r="G12" s="3" t="s">
        <v>123</v>
      </c>
      <c r="H12" s="3" t="s">
        <v>53</v>
      </c>
      <c r="I12" s="5" t="s">
        <v>762</v>
      </c>
      <c r="J12" s="80" t="s">
        <v>113</v>
      </c>
      <c r="K12" s="80"/>
      <c r="L12" s="80"/>
      <c r="M12" s="80"/>
    </row>
    <row r="13" spans="1:14" ht="60.75">
      <c r="A13" s="4" t="s">
        <v>736</v>
      </c>
      <c r="B13" s="3" t="s">
        <v>737</v>
      </c>
      <c r="C13" s="4" t="s">
        <v>763</v>
      </c>
      <c r="D13" s="3" t="s">
        <v>755</v>
      </c>
      <c r="E13" s="1" t="s">
        <v>764</v>
      </c>
      <c r="F13" s="63" t="s">
        <v>765</v>
      </c>
      <c r="G13" s="3" t="s">
        <v>255</v>
      </c>
      <c r="H13" s="1" t="s">
        <v>164</v>
      </c>
      <c r="I13" s="5" t="s">
        <v>766</v>
      </c>
      <c r="J13" s="80" t="s">
        <v>113</v>
      </c>
      <c r="K13" s="80"/>
      <c r="L13" s="80"/>
      <c r="M13" s="80"/>
    </row>
  </sheetData>
  <autoFilter ref="A1:G1" xr:uid="{1842821A-DC8F-40A6-A76D-6AD7DBDA3DE2}"/>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FC16F-D816-4AB2-8579-C35FF8E8107F}">
  <sheetPr>
    <tabColor theme="9" tint="0.79998168889431442"/>
  </sheetPr>
  <dimension ref="A1:N25"/>
  <sheetViews>
    <sheetView topLeftCell="H1" zoomScale="110" zoomScaleNormal="110" workbookViewId="0">
      <selection sqref="A1:XFD1"/>
    </sheetView>
  </sheetViews>
  <sheetFormatPr defaultColWidth="8.5703125" defaultRowHeight="15"/>
  <cols>
    <col min="1" max="1" width="13.42578125" style="2" customWidth="1"/>
    <col min="2" max="2" width="48.140625" style="2" customWidth="1"/>
    <col min="3" max="3" width="22.42578125" style="2" bestFit="1" customWidth="1"/>
    <col min="4" max="4" width="49.85546875" style="2" bestFit="1" customWidth="1"/>
    <col min="5" max="5" width="80.85546875" style="2" customWidth="1"/>
    <col min="6" max="6" width="56.85546875" style="2" customWidth="1"/>
    <col min="7" max="7" width="23.42578125" style="2" bestFit="1" customWidth="1"/>
    <col min="8" max="8" width="54.42578125" style="2" customWidth="1"/>
    <col min="9" max="9" width="61" style="2" customWidth="1"/>
    <col min="10" max="11" width="8.5703125" style="2"/>
    <col min="12" max="12" width="18.42578125" style="2" customWidth="1"/>
    <col min="13" max="13" width="28.42578125" style="2" customWidth="1"/>
    <col min="14" max="16384" width="8.5703125" style="2"/>
  </cols>
  <sheetData>
    <row r="1" spans="1:14" ht="72.75">
      <c r="A1" s="88" t="s">
        <v>91</v>
      </c>
      <c r="B1" s="88" t="s">
        <v>92</v>
      </c>
      <c r="C1" s="88" t="s">
        <v>93</v>
      </c>
      <c r="D1" s="88" t="s">
        <v>94</v>
      </c>
      <c r="E1" s="88" t="s">
        <v>95</v>
      </c>
      <c r="F1" s="88" t="s">
        <v>96</v>
      </c>
      <c r="G1" s="89" t="s">
        <v>97</v>
      </c>
      <c r="H1" s="89" t="s">
        <v>98</v>
      </c>
      <c r="I1" s="90" t="s">
        <v>99</v>
      </c>
      <c r="J1" s="91" t="s">
        <v>100</v>
      </c>
      <c r="K1" s="92" t="s">
        <v>101</v>
      </c>
      <c r="L1" s="92" t="s">
        <v>102</v>
      </c>
      <c r="M1" s="92" t="s">
        <v>103</v>
      </c>
      <c r="N1" s="93"/>
    </row>
    <row r="2" spans="1:14" ht="409.6">
      <c r="A2" s="4" t="s">
        <v>767</v>
      </c>
      <c r="B2" s="3" t="s">
        <v>768</v>
      </c>
      <c r="C2" s="4" t="s">
        <v>769</v>
      </c>
      <c r="D2" s="3" t="s">
        <v>770</v>
      </c>
      <c r="E2" s="12" t="s">
        <v>771</v>
      </c>
      <c r="F2" s="56" t="s">
        <v>772</v>
      </c>
      <c r="G2" s="1" t="s">
        <v>773</v>
      </c>
      <c r="H2" s="3" t="s">
        <v>164</v>
      </c>
      <c r="I2" s="79" t="s">
        <v>774</v>
      </c>
      <c r="J2" s="87" t="s">
        <v>113</v>
      </c>
      <c r="K2" s="87"/>
      <c r="L2" s="87"/>
      <c r="M2" s="87"/>
    </row>
    <row r="3" spans="1:14" ht="260.25">
      <c r="A3" s="4" t="s">
        <v>767</v>
      </c>
      <c r="B3" s="3" t="s">
        <v>768</v>
      </c>
      <c r="C3" s="4" t="s">
        <v>775</v>
      </c>
      <c r="D3" s="3" t="s">
        <v>776</v>
      </c>
      <c r="E3" s="12" t="s">
        <v>777</v>
      </c>
      <c r="F3" s="56" t="s">
        <v>217</v>
      </c>
      <c r="G3" s="1" t="s">
        <v>773</v>
      </c>
      <c r="H3" s="3" t="s">
        <v>164</v>
      </c>
      <c r="I3" s="5" t="s">
        <v>778</v>
      </c>
      <c r="J3" s="87" t="s">
        <v>113</v>
      </c>
      <c r="K3" s="80"/>
      <c r="L3" s="80"/>
      <c r="M3" s="80"/>
    </row>
    <row r="4" spans="1:14" ht="303.75">
      <c r="A4" s="4" t="s">
        <v>779</v>
      </c>
      <c r="B4" s="3" t="s">
        <v>780</v>
      </c>
      <c r="C4" s="4" t="s">
        <v>781</v>
      </c>
      <c r="D4" s="3" t="s">
        <v>782</v>
      </c>
      <c r="E4" s="12" t="s">
        <v>783</v>
      </c>
      <c r="F4" s="57" t="s">
        <v>784</v>
      </c>
      <c r="G4" s="1" t="s">
        <v>773</v>
      </c>
      <c r="H4" s="3" t="s">
        <v>53</v>
      </c>
      <c r="I4" s="5" t="s">
        <v>785</v>
      </c>
      <c r="J4" s="87" t="s">
        <v>113</v>
      </c>
      <c r="K4" s="80"/>
      <c r="L4" s="80"/>
      <c r="M4" s="80"/>
    </row>
    <row r="5" spans="1:14" ht="144.75">
      <c r="A5" s="4" t="s">
        <v>786</v>
      </c>
      <c r="B5" s="3" t="s">
        <v>787</v>
      </c>
      <c r="C5" s="4" t="s">
        <v>788</v>
      </c>
      <c r="D5" s="3" t="s">
        <v>789</v>
      </c>
      <c r="E5" s="12" t="s">
        <v>790</v>
      </c>
      <c r="F5" s="5" t="s">
        <v>791</v>
      </c>
      <c r="G5" s="1" t="s">
        <v>792</v>
      </c>
      <c r="H5" s="3" t="s">
        <v>53</v>
      </c>
      <c r="I5" s="5" t="s">
        <v>793</v>
      </c>
      <c r="J5" s="87" t="s">
        <v>113</v>
      </c>
      <c r="K5" s="80"/>
      <c r="L5" s="80"/>
      <c r="M5" s="80"/>
    </row>
    <row r="6" spans="1:14" ht="188.25">
      <c r="A6" s="4" t="s">
        <v>786</v>
      </c>
      <c r="B6" s="3" t="s">
        <v>787</v>
      </c>
      <c r="C6" s="4" t="s">
        <v>794</v>
      </c>
      <c r="D6" s="3" t="s">
        <v>795</v>
      </c>
      <c r="E6" s="12" t="s">
        <v>796</v>
      </c>
      <c r="F6" s="5" t="s">
        <v>797</v>
      </c>
      <c r="G6" s="1" t="s">
        <v>792</v>
      </c>
      <c r="H6" s="3" t="s">
        <v>53</v>
      </c>
      <c r="I6" s="5" t="s">
        <v>798</v>
      </c>
      <c r="J6" s="87" t="s">
        <v>113</v>
      </c>
      <c r="K6" s="80"/>
      <c r="L6" s="80"/>
      <c r="M6" s="80"/>
    </row>
    <row r="7" spans="1:14" ht="274.5">
      <c r="A7" s="4" t="s">
        <v>786</v>
      </c>
      <c r="B7" s="3" t="s">
        <v>787</v>
      </c>
      <c r="C7" s="4" t="s">
        <v>799</v>
      </c>
      <c r="D7" s="3" t="s">
        <v>800</v>
      </c>
      <c r="E7" s="12" t="s">
        <v>801</v>
      </c>
      <c r="F7" s="56" t="s">
        <v>802</v>
      </c>
      <c r="G7" s="1" t="s">
        <v>792</v>
      </c>
      <c r="H7" s="3" t="s">
        <v>53</v>
      </c>
      <c r="I7" s="5" t="s">
        <v>803</v>
      </c>
      <c r="J7" s="87" t="s">
        <v>113</v>
      </c>
      <c r="K7" s="80"/>
      <c r="L7" s="80"/>
      <c r="M7" s="80"/>
    </row>
    <row r="8" spans="1:14" ht="409.6">
      <c r="A8" s="4" t="s">
        <v>786</v>
      </c>
      <c r="B8" s="3" t="s">
        <v>787</v>
      </c>
      <c r="C8" s="4" t="s">
        <v>804</v>
      </c>
      <c r="D8" s="3" t="s">
        <v>805</v>
      </c>
      <c r="E8" s="12" t="s">
        <v>806</v>
      </c>
      <c r="F8" s="57" t="s">
        <v>807</v>
      </c>
      <c r="G8" s="1" t="s">
        <v>792</v>
      </c>
      <c r="H8" s="3" t="s">
        <v>53</v>
      </c>
      <c r="I8" s="5" t="s">
        <v>808</v>
      </c>
      <c r="J8" s="87" t="s">
        <v>113</v>
      </c>
      <c r="K8" s="80"/>
      <c r="L8" s="80"/>
      <c r="M8" s="80"/>
    </row>
    <row r="9" spans="1:14" ht="346.5">
      <c r="A9" s="4" t="s">
        <v>809</v>
      </c>
      <c r="B9" s="3" t="s">
        <v>810</v>
      </c>
      <c r="C9" s="4" t="s">
        <v>811</v>
      </c>
      <c r="D9" s="3" t="s">
        <v>812</v>
      </c>
      <c r="E9" s="12" t="s">
        <v>813</v>
      </c>
      <c r="F9" s="5" t="s">
        <v>814</v>
      </c>
      <c r="G9" s="1" t="s">
        <v>792</v>
      </c>
      <c r="H9" s="3" t="s">
        <v>53</v>
      </c>
      <c r="I9" s="5" t="s">
        <v>815</v>
      </c>
      <c r="J9" s="87" t="s">
        <v>113</v>
      </c>
      <c r="K9" s="80"/>
      <c r="L9" s="80"/>
      <c r="M9" s="80"/>
    </row>
    <row r="10" spans="1:14" ht="231">
      <c r="A10" s="4" t="s">
        <v>809</v>
      </c>
      <c r="B10" s="3" t="s">
        <v>810</v>
      </c>
      <c r="C10" s="4" t="s">
        <v>816</v>
      </c>
      <c r="D10" s="1" t="s">
        <v>812</v>
      </c>
      <c r="E10" s="1" t="s">
        <v>817</v>
      </c>
      <c r="F10" s="9" t="s">
        <v>818</v>
      </c>
      <c r="G10" s="1" t="s">
        <v>819</v>
      </c>
      <c r="H10" s="1" t="s">
        <v>140</v>
      </c>
      <c r="I10" s="5" t="s">
        <v>820</v>
      </c>
      <c r="J10" s="87" t="s">
        <v>113</v>
      </c>
      <c r="K10" s="80"/>
      <c r="L10" s="80"/>
      <c r="M10" s="80"/>
    </row>
    <row r="11" spans="1:14" ht="303.75">
      <c r="A11" s="4" t="s">
        <v>809</v>
      </c>
      <c r="B11" s="3" t="s">
        <v>810</v>
      </c>
      <c r="C11" s="4" t="s">
        <v>821</v>
      </c>
      <c r="D11" s="3" t="s">
        <v>822</v>
      </c>
      <c r="E11" s="1" t="s">
        <v>823</v>
      </c>
      <c r="F11" s="1" t="s">
        <v>824</v>
      </c>
      <c r="G11" s="1" t="s">
        <v>792</v>
      </c>
      <c r="H11" s="3" t="s">
        <v>53</v>
      </c>
      <c r="I11" s="5" t="s">
        <v>825</v>
      </c>
      <c r="J11" s="87" t="s">
        <v>113</v>
      </c>
      <c r="K11" s="80"/>
      <c r="L11" s="80"/>
      <c r="M11" s="80"/>
    </row>
    <row r="12" spans="1:14" ht="288.75">
      <c r="A12" s="4" t="s">
        <v>809</v>
      </c>
      <c r="B12" s="3" t="s">
        <v>810</v>
      </c>
      <c r="C12" s="4" t="s">
        <v>826</v>
      </c>
      <c r="D12" s="3" t="s">
        <v>827</v>
      </c>
      <c r="E12" s="1" t="s">
        <v>828</v>
      </c>
      <c r="F12" s="57" t="s">
        <v>829</v>
      </c>
      <c r="G12" s="1" t="s">
        <v>792</v>
      </c>
      <c r="H12" s="3" t="s">
        <v>53</v>
      </c>
      <c r="I12" s="5" t="s">
        <v>830</v>
      </c>
      <c r="J12" s="87" t="s">
        <v>113</v>
      </c>
      <c r="K12" s="80"/>
      <c r="L12" s="80"/>
      <c r="M12" s="80"/>
    </row>
    <row r="13" spans="1:14" ht="260.25">
      <c r="A13" s="4" t="s">
        <v>809</v>
      </c>
      <c r="B13" s="3" t="s">
        <v>810</v>
      </c>
      <c r="C13" s="4" t="s">
        <v>831</v>
      </c>
      <c r="D13" s="3" t="s">
        <v>827</v>
      </c>
      <c r="E13" s="1" t="s">
        <v>832</v>
      </c>
      <c r="F13" s="1" t="s">
        <v>833</v>
      </c>
      <c r="G13" s="1" t="s">
        <v>819</v>
      </c>
      <c r="H13" s="3" t="s">
        <v>53</v>
      </c>
      <c r="I13" s="5" t="s">
        <v>834</v>
      </c>
      <c r="J13" s="87" t="s">
        <v>113</v>
      </c>
      <c r="K13" s="80"/>
      <c r="L13" s="80"/>
      <c r="M13" s="80"/>
    </row>
    <row r="14" spans="1:14" ht="174">
      <c r="A14" s="4" t="s">
        <v>809</v>
      </c>
      <c r="B14" s="3" t="s">
        <v>810</v>
      </c>
      <c r="C14" s="4" t="s">
        <v>835</v>
      </c>
      <c r="D14" s="3" t="s">
        <v>836</v>
      </c>
      <c r="E14" s="1" t="s">
        <v>837</v>
      </c>
      <c r="F14" s="57" t="s">
        <v>838</v>
      </c>
      <c r="G14" s="3" t="s">
        <v>792</v>
      </c>
      <c r="H14" s="3" t="s">
        <v>53</v>
      </c>
      <c r="I14" s="5" t="s">
        <v>839</v>
      </c>
      <c r="J14" s="87" t="s">
        <v>113</v>
      </c>
      <c r="K14" s="80"/>
      <c r="L14" s="80"/>
      <c r="M14" s="80"/>
    </row>
    <row r="15" spans="1:14" ht="101.25">
      <c r="A15" s="4" t="s">
        <v>809</v>
      </c>
      <c r="B15" s="3" t="s">
        <v>810</v>
      </c>
      <c r="C15" s="4" t="s">
        <v>840</v>
      </c>
      <c r="D15" s="3" t="s">
        <v>836</v>
      </c>
      <c r="E15" s="1" t="s">
        <v>841</v>
      </c>
      <c r="F15" s="63" t="s">
        <v>842</v>
      </c>
      <c r="G15" s="3" t="s">
        <v>819</v>
      </c>
      <c r="H15" s="3" t="s">
        <v>53</v>
      </c>
      <c r="I15" s="5" t="s">
        <v>843</v>
      </c>
      <c r="J15" s="87" t="s">
        <v>113</v>
      </c>
      <c r="K15" s="80"/>
      <c r="L15" s="80"/>
      <c r="M15" s="80"/>
    </row>
    <row r="16" spans="1:14" ht="409.6">
      <c r="A16" s="4" t="s">
        <v>809</v>
      </c>
      <c r="B16" s="3" t="s">
        <v>810</v>
      </c>
      <c r="C16" s="4" t="s">
        <v>844</v>
      </c>
      <c r="D16" s="3" t="s">
        <v>845</v>
      </c>
      <c r="E16" s="1" t="s">
        <v>846</v>
      </c>
      <c r="F16" s="63" t="s">
        <v>847</v>
      </c>
      <c r="G16" s="3" t="s">
        <v>792</v>
      </c>
      <c r="H16" s="3" t="s">
        <v>53</v>
      </c>
      <c r="I16" s="5" t="s">
        <v>848</v>
      </c>
      <c r="J16" s="87" t="s">
        <v>113</v>
      </c>
      <c r="K16" s="80"/>
      <c r="L16" s="80"/>
      <c r="M16" s="80"/>
    </row>
    <row r="17" spans="1:13" ht="409.6">
      <c r="A17" s="4" t="s">
        <v>809</v>
      </c>
      <c r="B17" s="3" t="s">
        <v>810</v>
      </c>
      <c r="C17" s="4" t="s">
        <v>849</v>
      </c>
      <c r="D17" s="3" t="s">
        <v>850</v>
      </c>
      <c r="E17" s="1" t="s">
        <v>851</v>
      </c>
      <c r="F17" s="53" t="s">
        <v>852</v>
      </c>
      <c r="G17" s="3" t="s">
        <v>792</v>
      </c>
      <c r="H17" s="3" t="s">
        <v>53</v>
      </c>
      <c r="I17" s="5" t="s">
        <v>853</v>
      </c>
      <c r="J17" s="87"/>
      <c r="K17" s="87" t="s">
        <v>113</v>
      </c>
      <c r="L17" s="83" t="s">
        <v>854</v>
      </c>
      <c r="M17" s="80"/>
    </row>
    <row r="18" spans="1:13" ht="318">
      <c r="A18" s="4" t="s">
        <v>809</v>
      </c>
      <c r="B18" s="3" t="s">
        <v>810</v>
      </c>
      <c r="C18" s="4" t="s">
        <v>855</v>
      </c>
      <c r="D18" s="3" t="s">
        <v>856</v>
      </c>
      <c r="E18" s="1" t="s">
        <v>857</v>
      </c>
      <c r="F18" s="57" t="s">
        <v>858</v>
      </c>
      <c r="G18" s="3" t="s">
        <v>792</v>
      </c>
      <c r="H18" s="3" t="s">
        <v>53</v>
      </c>
      <c r="I18" s="5" t="s">
        <v>859</v>
      </c>
      <c r="J18" s="87" t="s">
        <v>113</v>
      </c>
      <c r="K18" s="80"/>
      <c r="L18" s="80"/>
      <c r="M18" s="80"/>
    </row>
    <row r="19" spans="1:13" ht="303.75">
      <c r="A19" s="4" t="s">
        <v>860</v>
      </c>
      <c r="B19" s="3" t="s">
        <v>861</v>
      </c>
      <c r="C19" s="4" t="s">
        <v>862</v>
      </c>
      <c r="D19" s="3" t="s">
        <v>863</v>
      </c>
      <c r="E19" s="1" t="s">
        <v>864</v>
      </c>
      <c r="F19" s="57" t="s">
        <v>865</v>
      </c>
      <c r="G19" s="3" t="s">
        <v>792</v>
      </c>
      <c r="H19" s="3" t="s">
        <v>53</v>
      </c>
      <c r="I19" s="5" t="s">
        <v>866</v>
      </c>
      <c r="J19" s="87" t="s">
        <v>113</v>
      </c>
      <c r="K19" s="80"/>
      <c r="L19" s="80"/>
      <c r="M19" s="80"/>
    </row>
    <row r="20" spans="1:13" ht="115.5">
      <c r="A20" s="4" t="s">
        <v>860</v>
      </c>
      <c r="B20" s="3" t="s">
        <v>861</v>
      </c>
      <c r="C20" s="4" t="s">
        <v>867</v>
      </c>
      <c r="D20" s="3" t="s">
        <v>863</v>
      </c>
      <c r="E20" s="1" t="s">
        <v>868</v>
      </c>
      <c r="F20" s="63" t="s">
        <v>869</v>
      </c>
      <c r="G20" s="3" t="s">
        <v>819</v>
      </c>
      <c r="H20" s="3" t="s">
        <v>53</v>
      </c>
      <c r="I20" s="5" t="s">
        <v>870</v>
      </c>
      <c r="J20" s="87" t="s">
        <v>113</v>
      </c>
      <c r="K20" s="80"/>
      <c r="L20" s="80"/>
      <c r="M20" s="80"/>
    </row>
    <row r="21" spans="1:13" ht="245.25">
      <c r="A21" s="4" t="s">
        <v>860</v>
      </c>
      <c r="B21" s="3" t="s">
        <v>861</v>
      </c>
      <c r="C21" s="4" t="s">
        <v>871</v>
      </c>
      <c r="D21" s="3" t="s">
        <v>872</v>
      </c>
      <c r="E21" s="1" t="s">
        <v>873</v>
      </c>
      <c r="F21" s="1" t="s">
        <v>874</v>
      </c>
      <c r="G21" s="3" t="s">
        <v>792</v>
      </c>
      <c r="H21" s="3" t="s">
        <v>53</v>
      </c>
      <c r="I21" s="5" t="s">
        <v>875</v>
      </c>
      <c r="J21" s="87" t="s">
        <v>113</v>
      </c>
      <c r="K21" s="80"/>
      <c r="L21" s="80"/>
      <c r="M21" s="80"/>
    </row>
    <row r="22" spans="1:13" ht="159">
      <c r="A22" s="4" t="s">
        <v>860</v>
      </c>
      <c r="B22" s="3" t="s">
        <v>861</v>
      </c>
      <c r="C22" s="4" t="s">
        <v>876</v>
      </c>
      <c r="D22" s="3" t="s">
        <v>872</v>
      </c>
      <c r="E22" s="1" t="s">
        <v>877</v>
      </c>
      <c r="F22" s="1" t="s">
        <v>281</v>
      </c>
      <c r="G22" s="3" t="s">
        <v>819</v>
      </c>
      <c r="H22" s="3" t="s">
        <v>53</v>
      </c>
      <c r="I22" s="5" t="s">
        <v>878</v>
      </c>
      <c r="J22" s="87" t="s">
        <v>113</v>
      </c>
      <c r="K22" s="80"/>
      <c r="L22" s="80"/>
      <c r="M22" s="80"/>
    </row>
    <row r="23" spans="1:13" ht="409.6">
      <c r="A23" s="4" t="s">
        <v>860</v>
      </c>
      <c r="B23" s="3" t="s">
        <v>861</v>
      </c>
      <c r="C23" s="4" t="s">
        <v>879</v>
      </c>
      <c r="D23" s="3" t="s">
        <v>880</v>
      </c>
      <c r="E23" s="1" t="s">
        <v>881</v>
      </c>
      <c r="F23" s="57" t="s">
        <v>882</v>
      </c>
      <c r="G23" s="3" t="s">
        <v>792</v>
      </c>
      <c r="H23" s="3" t="s">
        <v>53</v>
      </c>
      <c r="I23" s="5" t="s">
        <v>883</v>
      </c>
      <c r="J23" s="87" t="s">
        <v>113</v>
      </c>
      <c r="K23" s="80"/>
      <c r="L23" s="80"/>
      <c r="M23" s="80"/>
    </row>
    <row r="24" spans="1:13" ht="115.5">
      <c r="A24" s="4" t="s">
        <v>860</v>
      </c>
      <c r="B24" s="3" t="s">
        <v>861</v>
      </c>
      <c r="C24" s="4" t="s">
        <v>884</v>
      </c>
      <c r="D24" s="3" t="s">
        <v>885</v>
      </c>
      <c r="E24" s="1" t="s">
        <v>886</v>
      </c>
      <c r="F24" s="1" t="s">
        <v>292</v>
      </c>
      <c r="G24" s="3" t="s">
        <v>819</v>
      </c>
      <c r="H24" s="3" t="s">
        <v>53</v>
      </c>
      <c r="I24" s="5" t="s">
        <v>887</v>
      </c>
      <c r="J24" s="87" t="s">
        <v>113</v>
      </c>
      <c r="K24" s="80"/>
      <c r="L24" s="80"/>
      <c r="M24" s="80"/>
    </row>
    <row r="25" spans="1:13" ht="188.25">
      <c r="A25" s="4" t="s">
        <v>860</v>
      </c>
      <c r="B25" s="3" t="s">
        <v>861</v>
      </c>
      <c r="C25" s="4" t="s">
        <v>888</v>
      </c>
      <c r="D25" s="3" t="s">
        <v>889</v>
      </c>
      <c r="E25" s="1" t="s">
        <v>890</v>
      </c>
      <c r="F25" s="57" t="s">
        <v>891</v>
      </c>
      <c r="G25" s="3" t="s">
        <v>792</v>
      </c>
      <c r="H25" s="3" t="s">
        <v>53</v>
      </c>
      <c r="I25" s="5" t="s">
        <v>892</v>
      </c>
      <c r="J25" s="87" t="s">
        <v>113</v>
      </c>
      <c r="K25" s="80"/>
      <c r="L25" s="80"/>
      <c r="M25" s="80"/>
    </row>
  </sheetData>
  <autoFilter ref="A1:G1" xr:uid="{1842821A-DC8F-40A6-A76D-6AD7DBDA3DE2}"/>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1DA08-CE8E-4BF7-81A9-C5EF9C9BD71A}">
  <sheetPr>
    <tabColor theme="8" tint="0.59999389629810485"/>
  </sheetPr>
  <dimension ref="A1:N15"/>
  <sheetViews>
    <sheetView topLeftCell="G1" zoomScale="120" zoomScaleNormal="120" workbookViewId="0">
      <selection activeCell="I2" sqref="I2:M2"/>
    </sheetView>
  </sheetViews>
  <sheetFormatPr defaultColWidth="8.5703125" defaultRowHeight="15"/>
  <cols>
    <col min="1" max="1" width="13.42578125" style="2" customWidth="1"/>
    <col min="2" max="2" width="46.85546875" style="2" bestFit="1" customWidth="1"/>
    <col min="3" max="3" width="22.42578125" style="2" bestFit="1" customWidth="1"/>
    <col min="4" max="4" width="37.42578125" style="2" bestFit="1" customWidth="1"/>
    <col min="5" max="5" width="80.85546875" style="2" customWidth="1"/>
    <col min="6" max="6" width="56.85546875" style="2" customWidth="1"/>
    <col min="7" max="7" width="23.42578125" style="2" bestFit="1" customWidth="1"/>
    <col min="8" max="8" width="40.42578125" style="2" customWidth="1"/>
    <col min="9" max="9" width="64.7109375" style="2" customWidth="1"/>
    <col min="10" max="16384" width="8.5703125" style="2"/>
  </cols>
  <sheetData>
    <row r="1" spans="1:14">
      <c r="F1" s="54">
        <v>1</v>
      </c>
    </row>
    <row r="2" spans="1:14" ht="72.75">
      <c r="A2" s="88" t="s">
        <v>91</v>
      </c>
      <c r="B2" s="88" t="s">
        <v>92</v>
      </c>
      <c r="C2" s="88" t="s">
        <v>93</v>
      </c>
      <c r="D2" s="88" t="s">
        <v>94</v>
      </c>
      <c r="E2" s="88" t="s">
        <v>95</v>
      </c>
      <c r="F2" s="88" t="s">
        <v>96</v>
      </c>
      <c r="G2" s="89" t="s">
        <v>97</v>
      </c>
      <c r="H2" s="89" t="s">
        <v>98</v>
      </c>
      <c r="I2" s="90" t="s">
        <v>99</v>
      </c>
      <c r="J2" s="91" t="s">
        <v>100</v>
      </c>
      <c r="K2" s="92" t="s">
        <v>101</v>
      </c>
      <c r="L2" s="92" t="s">
        <v>102</v>
      </c>
      <c r="M2" s="92" t="s">
        <v>103</v>
      </c>
      <c r="N2" s="93"/>
    </row>
    <row r="3" spans="1:14" ht="90">
      <c r="A3" s="4" t="s">
        <v>893</v>
      </c>
      <c r="B3" s="3" t="s">
        <v>894</v>
      </c>
      <c r="C3" s="4" t="s">
        <v>895</v>
      </c>
      <c r="D3" s="3" t="s">
        <v>896</v>
      </c>
      <c r="E3" s="1" t="s">
        <v>897</v>
      </c>
      <c r="F3" s="59" t="s">
        <v>898</v>
      </c>
      <c r="G3" s="3" t="s">
        <v>110</v>
      </c>
      <c r="H3" s="1" t="s">
        <v>53</v>
      </c>
      <c r="I3" t="s">
        <v>899</v>
      </c>
    </row>
    <row r="4" spans="1:14" ht="174">
      <c r="A4" s="4" t="s">
        <v>893</v>
      </c>
      <c r="B4" s="3" t="s">
        <v>894</v>
      </c>
      <c r="C4" s="4" t="s">
        <v>900</v>
      </c>
      <c r="D4" s="3" t="s">
        <v>901</v>
      </c>
      <c r="E4" s="1" t="s">
        <v>902</v>
      </c>
      <c r="F4" s="59" t="s">
        <v>903</v>
      </c>
      <c r="G4" s="3" t="s">
        <v>110</v>
      </c>
      <c r="H4" s="1" t="s">
        <v>53</v>
      </c>
      <c r="I4" s="76" t="s">
        <v>904</v>
      </c>
    </row>
    <row r="5" spans="1:14" ht="409.6">
      <c r="A5" s="4" t="s">
        <v>893</v>
      </c>
      <c r="B5" s="3" t="s">
        <v>894</v>
      </c>
      <c r="C5" s="4" t="s">
        <v>905</v>
      </c>
      <c r="D5" s="3" t="s">
        <v>906</v>
      </c>
      <c r="E5" s="1" t="s">
        <v>907</v>
      </c>
      <c r="F5" s="59" t="s">
        <v>908</v>
      </c>
      <c r="G5" s="3" t="s">
        <v>110</v>
      </c>
      <c r="H5" s="1" t="s">
        <v>53</v>
      </c>
      <c r="I5" s="76" t="s">
        <v>909</v>
      </c>
    </row>
    <row r="6" spans="1:14" ht="288.75">
      <c r="A6" s="4" t="s">
        <v>893</v>
      </c>
      <c r="B6" s="3" t="s">
        <v>894</v>
      </c>
      <c r="C6" s="4" t="s">
        <v>910</v>
      </c>
      <c r="D6" s="3" t="s">
        <v>911</v>
      </c>
      <c r="E6" s="1" t="s">
        <v>912</v>
      </c>
      <c r="F6" s="55" t="s">
        <v>913</v>
      </c>
      <c r="G6" s="3" t="s">
        <v>123</v>
      </c>
      <c r="H6" s="1" t="s">
        <v>53</v>
      </c>
      <c r="I6" s="76" t="s">
        <v>914</v>
      </c>
    </row>
    <row r="7" spans="1:14" ht="245.25">
      <c r="A7" s="4" t="s">
        <v>893</v>
      </c>
      <c r="B7" s="3" t="s">
        <v>894</v>
      </c>
      <c r="C7" s="4" t="s">
        <v>915</v>
      </c>
      <c r="D7" s="3" t="s">
        <v>916</v>
      </c>
      <c r="E7" s="1" t="s">
        <v>917</v>
      </c>
      <c r="F7" s="55" t="s">
        <v>918</v>
      </c>
      <c r="G7" s="3" t="s">
        <v>123</v>
      </c>
      <c r="H7" s="1" t="s">
        <v>53</v>
      </c>
      <c r="I7" s="76" t="s">
        <v>919</v>
      </c>
    </row>
    <row r="8" spans="1:14" ht="260.25">
      <c r="A8" s="4" t="s">
        <v>893</v>
      </c>
      <c r="B8" s="3" t="s">
        <v>894</v>
      </c>
      <c r="C8" s="4" t="s">
        <v>920</v>
      </c>
      <c r="D8" s="3" t="s">
        <v>921</v>
      </c>
      <c r="E8" s="1" t="s">
        <v>922</v>
      </c>
      <c r="F8" s="59" t="s">
        <v>923</v>
      </c>
      <c r="G8" s="3" t="s">
        <v>123</v>
      </c>
      <c r="H8" s="1" t="s">
        <v>53</v>
      </c>
      <c r="I8" s="76" t="s">
        <v>924</v>
      </c>
    </row>
    <row r="9" spans="1:14" ht="332.25">
      <c r="A9" s="4" t="s">
        <v>893</v>
      </c>
      <c r="B9" s="3" t="s">
        <v>894</v>
      </c>
      <c r="C9" s="4" t="s">
        <v>925</v>
      </c>
      <c r="D9" s="3" t="s">
        <v>926</v>
      </c>
      <c r="E9" s="1" t="s">
        <v>927</v>
      </c>
      <c r="F9" s="57" t="s">
        <v>928</v>
      </c>
      <c r="G9" s="3" t="s">
        <v>123</v>
      </c>
      <c r="H9" s="1" t="s">
        <v>53</v>
      </c>
      <c r="I9" s="76" t="s">
        <v>929</v>
      </c>
    </row>
    <row r="10" spans="1:14" ht="104.25">
      <c r="A10" s="4" t="s">
        <v>930</v>
      </c>
      <c r="B10" s="3" t="s">
        <v>931</v>
      </c>
      <c r="C10" s="4" t="s">
        <v>932</v>
      </c>
      <c r="D10" s="3" t="s">
        <v>933</v>
      </c>
      <c r="E10" s="1" t="s">
        <v>934</v>
      </c>
      <c r="F10" s="59" t="s">
        <v>935</v>
      </c>
      <c r="G10" s="3" t="s">
        <v>123</v>
      </c>
      <c r="H10" s="1" t="s">
        <v>53</v>
      </c>
      <c r="I10" t="s">
        <v>936</v>
      </c>
    </row>
    <row r="11" spans="1:14" ht="409.6">
      <c r="A11" s="4" t="s">
        <v>930</v>
      </c>
      <c r="B11" s="3" t="s">
        <v>931</v>
      </c>
      <c r="C11" s="4" t="s">
        <v>937</v>
      </c>
      <c r="D11" s="1" t="s">
        <v>938</v>
      </c>
      <c r="E11" s="1" t="s">
        <v>939</v>
      </c>
      <c r="F11" s="59" t="s">
        <v>940</v>
      </c>
      <c r="G11" s="3" t="s">
        <v>123</v>
      </c>
      <c r="H11" s="12" t="s">
        <v>140</v>
      </c>
      <c r="I11" s="76" t="s">
        <v>941</v>
      </c>
    </row>
    <row r="12" spans="1:14" ht="409.6">
      <c r="A12" s="4" t="s">
        <v>930</v>
      </c>
      <c r="B12" s="3" t="s">
        <v>931</v>
      </c>
      <c r="C12" s="4" t="s">
        <v>942</v>
      </c>
      <c r="D12" s="3" t="s">
        <v>943</v>
      </c>
      <c r="E12" s="1" t="s">
        <v>944</v>
      </c>
      <c r="F12" s="53" t="s">
        <v>945</v>
      </c>
      <c r="G12" s="3" t="s">
        <v>123</v>
      </c>
      <c r="H12" s="3" t="s">
        <v>53</v>
      </c>
      <c r="I12" s="76" t="s">
        <v>946</v>
      </c>
    </row>
    <row r="13" spans="1:14" ht="225">
      <c r="A13" s="4" t="s">
        <v>947</v>
      </c>
      <c r="B13" s="3" t="s">
        <v>948</v>
      </c>
      <c r="C13" s="4" t="s">
        <v>949</v>
      </c>
      <c r="D13" s="3" t="s">
        <v>950</v>
      </c>
      <c r="E13" s="1" t="s">
        <v>951</v>
      </c>
      <c r="F13" s="53" t="s">
        <v>952</v>
      </c>
      <c r="G13" s="3" t="s">
        <v>255</v>
      </c>
      <c r="H13" s="12" t="s">
        <v>469</v>
      </c>
      <c r="I13" s="76" t="s">
        <v>953</v>
      </c>
    </row>
    <row r="14" spans="1:14" ht="409.6">
      <c r="A14" s="4" t="s">
        <v>947</v>
      </c>
      <c r="B14" s="3" t="s">
        <v>948</v>
      </c>
      <c r="C14" s="4" t="s">
        <v>954</v>
      </c>
      <c r="D14" s="3" t="s">
        <v>955</v>
      </c>
      <c r="E14" s="1" t="s">
        <v>956</v>
      </c>
      <c r="F14" s="53" t="s">
        <v>957</v>
      </c>
      <c r="G14" s="3" t="s">
        <v>255</v>
      </c>
      <c r="H14" s="3" t="s">
        <v>53</v>
      </c>
      <c r="I14" s="76" t="s">
        <v>958</v>
      </c>
    </row>
    <row r="15" spans="1:14" ht="409.6">
      <c r="A15" s="4" t="s">
        <v>959</v>
      </c>
      <c r="B15" s="3" t="s">
        <v>960</v>
      </c>
      <c r="C15" s="4" t="s">
        <v>961</v>
      </c>
      <c r="D15" s="3" t="s">
        <v>962</v>
      </c>
      <c r="E15" s="1" t="s">
        <v>963</v>
      </c>
      <c r="F15" s="53" t="s">
        <v>964</v>
      </c>
      <c r="G15" s="3" t="s">
        <v>255</v>
      </c>
      <c r="H15" s="3" t="s">
        <v>53</v>
      </c>
      <c r="I15" s="76" t="s">
        <v>965</v>
      </c>
    </row>
  </sheetData>
  <autoFilter ref="A2:G2" xr:uid="{1842821A-DC8F-40A6-A76D-6AD7DBDA3DE2}"/>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8472A-69CA-4C99-92FB-025CFF99E959}">
  <sheetPr>
    <tabColor theme="8" tint="0.59999389629810485"/>
  </sheetPr>
  <dimension ref="A1:N17"/>
  <sheetViews>
    <sheetView tabSelected="1" topLeftCell="G1" zoomScale="89" zoomScaleNormal="190" workbookViewId="0">
      <selection activeCell="N3" sqref="N3"/>
    </sheetView>
  </sheetViews>
  <sheetFormatPr defaultColWidth="8.5703125" defaultRowHeight="15"/>
  <cols>
    <col min="1" max="1" width="13.42578125" style="2" customWidth="1"/>
    <col min="2" max="2" width="58.42578125" style="2" bestFit="1" customWidth="1"/>
    <col min="3" max="3" width="22.42578125" style="2" bestFit="1" customWidth="1"/>
    <col min="4" max="4" width="56.42578125" style="2" bestFit="1" customWidth="1"/>
    <col min="5" max="5" width="80.85546875" style="2" customWidth="1"/>
    <col min="6" max="6" width="56.85546875" style="2" customWidth="1"/>
    <col min="7" max="7" width="23.42578125" style="2" bestFit="1" customWidth="1"/>
    <col min="8" max="8" width="43" style="2" customWidth="1"/>
    <col min="9" max="9" width="58.140625" style="2" customWidth="1"/>
    <col min="10" max="16384" width="8.5703125" style="2"/>
  </cols>
  <sheetData>
    <row r="1" spans="1:14">
      <c r="F1" s="54">
        <f>(9/15)</f>
        <v>0.6</v>
      </c>
    </row>
    <row r="2" spans="1:14" ht="72.75">
      <c r="A2" s="88" t="s">
        <v>91</v>
      </c>
      <c r="B2" s="88" t="s">
        <v>92</v>
      </c>
      <c r="C2" s="88" t="s">
        <v>93</v>
      </c>
      <c r="D2" s="88" t="s">
        <v>94</v>
      </c>
      <c r="E2" s="88" t="s">
        <v>95</v>
      </c>
      <c r="F2" s="88" t="s">
        <v>96</v>
      </c>
      <c r="G2" s="89" t="s">
        <v>97</v>
      </c>
      <c r="H2" s="89" t="s">
        <v>98</v>
      </c>
      <c r="I2" s="90" t="s">
        <v>99</v>
      </c>
      <c r="J2" s="91" t="s">
        <v>100</v>
      </c>
      <c r="K2" s="92" t="s">
        <v>101</v>
      </c>
      <c r="L2" s="92" t="s">
        <v>102</v>
      </c>
      <c r="M2" s="92" t="s">
        <v>103</v>
      </c>
      <c r="N2" s="93"/>
    </row>
    <row r="3" spans="1:14" ht="409.6">
      <c r="A3" s="4" t="s">
        <v>966</v>
      </c>
      <c r="B3" s="3" t="s">
        <v>967</v>
      </c>
      <c r="C3" s="4" t="s">
        <v>968</v>
      </c>
      <c r="D3" s="3" t="s">
        <v>969</v>
      </c>
      <c r="E3" s="1" t="s">
        <v>970</v>
      </c>
      <c r="F3" s="55" t="s">
        <v>971</v>
      </c>
      <c r="G3" s="1" t="s">
        <v>773</v>
      </c>
      <c r="H3" s="1" t="s">
        <v>53</v>
      </c>
      <c r="I3" s="5" t="s">
        <v>972</v>
      </c>
    </row>
    <row r="4" spans="1:14" ht="409.6">
      <c r="A4" s="4" t="s">
        <v>966</v>
      </c>
      <c r="B4" s="3" t="s">
        <v>967</v>
      </c>
      <c r="C4" s="4" t="s">
        <v>973</v>
      </c>
      <c r="D4" s="3" t="s">
        <v>974</v>
      </c>
      <c r="E4" s="1" t="s">
        <v>975</v>
      </c>
      <c r="F4" s="5" t="s">
        <v>976</v>
      </c>
      <c r="G4" s="1" t="s">
        <v>773</v>
      </c>
      <c r="H4" s="3" t="s">
        <v>164</v>
      </c>
      <c r="I4" s="5" t="s">
        <v>977</v>
      </c>
    </row>
    <row r="5" spans="1:14" ht="409.6">
      <c r="A5" s="4" t="s">
        <v>978</v>
      </c>
      <c r="B5" s="3" t="s">
        <v>979</v>
      </c>
      <c r="C5" s="4" t="s">
        <v>980</v>
      </c>
      <c r="D5" s="3" t="s">
        <v>981</v>
      </c>
      <c r="E5" s="1" t="s">
        <v>982</v>
      </c>
      <c r="F5" s="60" t="s">
        <v>983</v>
      </c>
      <c r="G5" s="1" t="s">
        <v>773</v>
      </c>
      <c r="H5" s="1" t="s">
        <v>334</v>
      </c>
      <c r="I5" s="5" t="s">
        <v>984</v>
      </c>
    </row>
    <row r="6" spans="1:14" ht="409.6">
      <c r="A6" s="4" t="s">
        <v>978</v>
      </c>
      <c r="B6" s="3" t="s">
        <v>979</v>
      </c>
      <c r="C6" s="4" t="s">
        <v>985</v>
      </c>
      <c r="D6" s="3" t="s">
        <v>986</v>
      </c>
      <c r="E6" s="1" t="s">
        <v>987</v>
      </c>
      <c r="F6" s="10" t="s">
        <v>988</v>
      </c>
      <c r="G6" s="1" t="s">
        <v>773</v>
      </c>
      <c r="H6" s="1" t="s">
        <v>140</v>
      </c>
      <c r="I6" s="5" t="s">
        <v>989</v>
      </c>
    </row>
    <row r="7" spans="1:14" ht="409.6">
      <c r="A7" s="4" t="s">
        <v>990</v>
      </c>
      <c r="B7" s="3" t="s">
        <v>991</v>
      </c>
      <c r="C7" s="4" t="s">
        <v>992</v>
      </c>
      <c r="D7" s="3" t="s">
        <v>993</v>
      </c>
      <c r="E7" s="1" t="s">
        <v>994</v>
      </c>
      <c r="F7" s="61" t="s">
        <v>995</v>
      </c>
      <c r="G7" s="1" t="s">
        <v>773</v>
      </c>
      <c r="H7" s="1" t="s">
        <v>996</v>
      </c>
      <c r="I7" s="5" t="s">
        <v>997</v>
      </c>
    </row>
    <row r="8" spans="1:14" ht="409.6">
      <c r="A8" s="4" t="s">
        <v>990</v>
      </c>
      <c r="B8" s="3" t="s">
        <v>991</v>
      </c>
      <c r="C8" s="4" t="s">
        <v>998</v>
      </c>
      <c r="D8" s="3" t="s">
        <v>999</v>
      </c>
      <c r="E8" s="1" t="s">
        <v>1000</v>
      </c>
      <c r="F8" s="10" t="s">
        <v>1001</v>
      </c>
      <c r="G8" s="1" t="s">
        <v>773</v>
      </c>
      <c r="H8" s="1" t="s">
        <v>140</v>
      </c>
      <c r="I8" s="5" t="s">
        <v>1002</v>
      </c>
    </row>
    <row r="9" spans="1:14" ht="409.6">
      <c r="A9" s="4" t="s">
        <v>1003</v>
      </c>
      <c r="B9" s="3" t="s">
        <v>1004</v>
      </c>
      <c r="C9" s="4" t="s">
        <v>1005</v>
      </c>
      <c r="D9" s="3" t="s">
        <v>1006</v>
      </c>
      <c r="E9" s="1" t="s">
        <v>1007</v>
      </c>
      <c r="F9" s="61" t="s">
        <v>1008</v>
      </c>
      <c r="G9" s="1" t="s">
        <v>773</v>
      </c>
      <c r="H9" s="1" t="s">
        <v>53</v>
      </c>
      <c r="I9" s="5" t="s">
        <v>1009</v>
      </c>
    </row>
    <row r="10" spans="1:14" ht="409.6">
      <c r="A10" s="4" t="s">
        <v>1003</v>
      </c>
      <c r="B10" s="3" t="s">
        <v>1004</v>
      </c>
      <c r="C10" s="4" t="s">
        <v>1010</v>
      </c>
      <c r="D10" s="3" t="s">
        <v>1011</v>
      </c>
      <c r="E10" s="1" t="s">
        <v>1012</v>
      </c>
      <c r="F10" s="61" t="s">
        <v>1013</v>
      </c>
      <c r="G10" s="1" t="s">
        <v>773</v>
      </c>
      <c r="H10" s="12" t="s">
        <v>140</v>
      </c>
      <c r="I10" s="5" t="s">
        <v>1014</v>
      </c>
    </row>
    <row r="11" spans="1:14" ht="409.6">
      <c r="A11" s="4" t="s">
        <v>1003</v>
      </c>
      <c r="B11" s="3" t="s">
        <v>1004</v>
      </c>
      <c r="C11" s="4" t="s">
        <v>1015</v>
      </c>
      <c r="D11" s="1" t="s">
        <v>1016</v>
      </c>
      <c r="E11" s="1" t="s">
        <v>1017</v>
      </c>
      <c r="F11" s="62" t="s">
        <v>1018</v>
      </c>
      <c r="G11" s="1" t="s">
        <v>773</v>
      </c>
      <c r="H11" s="12" t="s">
        <v>140</v>
      </c>
      <c r="I11" s="5" t="s">
        <v>1019</v>
      </c>
    </row>
    <row r="12" spans="1:14" ht="409.6">
      <c r="A12" s="4" t="s">
        <v>1020</v>
      </c>
      <c r="B12" s="3" t="s">
        <v>1021</v>
      </c>
      <c r="C12" s="4" t="s">
        <v>1022</v>
      </c>
      <c r="D12" s="3" t="s">
        <v>1023</v>
      </c>
      <c r="E12" s="1" t="s">
        <v>1024</v>
      </c>
      <c r="F12" s="11" t="s">
        <v>1025</v>
      </c>
      <c r="G12" s="1" t="s">
        <v>773</v>
      </c>
      <c r="H12" s="3" t="s">
        <v>53</v>
      </c>
      <c r="I12" s="5" t="s">
        <v>1026</v>
      </c>
    </row>
    <row r="13" spans="1:14" ht="409.6">
      <c r="A13" s="4" t="s">
        <v>1020</v>
      </c>
      <c r="B13" s="3" t="s">
        <v>1021</v>
      </c>
      <c r="C13" s="4" t="s">
        <v>1027</v>
      </c>
      <c r="D13" s="3" t="s">
        <v>1028</v>
      </c>
      <c r="E13" s="1" t="s">
        <v>1029</v>
      </c>
      <c r="F13" s="60" t="s">
        <v>1030</v>
      </c>
      <c r="G13" s="1" t="s">
        <v>773</v>
      </c>
      <c r="H13" s="3" t="s">
        <v>49</v>
      </c>
      <c r="I13" s="5" t="s">
        <v>1031</v>
      </c>
    </row>
    <row r="14" spans="1:14" ht="409.6">
      <c r="A14" s="4" t="s">
        <v>1032</v>
      </c>
      <c r="B14" s="3" t="s">
        <v>1033</v>
      </c>
      <c r="C14" s="4" t="s">
        <v>1034</v>
      </c>
      <c r="D14" s="3" t="s">
        <v>1035</v>
      </c>
      <c r="E14" s="1" t="s">
        <v>1036</v>
      </c>
      <c r="F14" s="53" t="s">
        <v>1037</v>
      </c>
      <c r="G14" s="1" t="s">
        <v>773</v>
      </c>
      <c r="H14" s="3" t="s">
        <v>53</v>
      </c>
      <c r="I14" s="5" t="s">
        <v>1038</v>
      </c>
    </row>
    <row r="15" spans="1:14" ht="409.6">
      <c r="A15" s="4" t="s">
        <v>1032</v>
      </c>
      <c r="B15" s="3" t="s">
        <v>1033</v>
      </c>
      <c r="C15" s="4" t="s">
        <v>1039</v>
      </c>
      <c r="D15" s="3" t="s">
        <v>1040</v>
      </c>
      <c r="E15" s="1" t="s">
        <v>1041</v>
      </c>
      <c r="F15" s="60" t="s">
        <v>1042</v>
      </c>
      <c r="G15" s="3" t="s">
        <v>773</v>
      </c>
      <c r="H15" s="3" t="s">
        <v>53</v>
      </c>
      <c r="I15" s="5" t="s">
        <v>1043</v>
      </c>
    </row>
    <row r="16" spans="1:14" ht="409.6">
      <c r="A16" s="4" t="s">
        <v>1032</v>
      </c>
      <c r="B16" s="3" t="s">
        <v>1033</v>
      </c>
      <c r="C16" s="4" t="s">
        <v>1044</v>
      </c>
      <c r="D16" s="3" t="s">
        <v>1040</v>
      </c>
      <c r="E16" s="1" t="s">
        <v>1045</v>
      </c>
      <c r="F16" s="1" t="s">
        <v>1046</v>
      </c>
      <c r="G16" s="3" t="s">
        <v>792</v>
      </c>
      <c r="H16" s="3" t="s">
        <v>53</v>
      </c>
      <c r="I16" s="5" t="s">
        <v>1047</v>
      </c>
    </row>
    <row r="17" spans="1:9" ht="409.6">
      <c r="A17" s="4" t="s">
        <v>1032</v>
      </c>
      <c r="B17" s="3" t="s">
        <v>1033</v>
      </c>
      <c r="C17" s="4" t="s">
        <v>1048</v>
      </c>
      <c r="D17" s="3" t="s">
        <v>1049</v>
      </c>
      <c r="E17" s="1" t="s">
        <v>1050</v>
      </c>
      <c r="F17" s="11" t="s">
        <v>1051</v>
      </c>
      <c r="G17" s="3" t="s">
        <v>773</v>
      </c>
      <c r="H17" s="3" t="s">
        <v>53</v>
      </c>
      <c r="I17" s="5" t="s">
        <v>1052</v>
      </c>
    </row>
  </sheetData>
  <autoFilter ref="A2:G2" xr:uid="{1842821A-DC8F-40A6-A76D-6AD7DBDA3DE2}"/>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D250FAC2BE8574084F8643264E5C70D" ma:contentTypeVersion="17" ma:contentTypeDescription="Create a new document." ma:contentTypeScope="" ma:versionID="525be72695578a19f3efcc09d1a41880">
  <xsd:schema xmlns:xsd="http://www.w3.org/2001/XMLSchema" xmlns:xs="http://www.w3.org/2001/XMLSchema" xmlns:p="http://schemas.microsoft.com/office/2006/metadata/properties" xmlns:ns2="49560598-7987-489a-ae1f-913916c919e4" xmlns:ns3="0e73ed16-1a4b-498f-968f-ad98adbb9369" targetNamespace="http://schemas.microsoft.com/office/2006/metadata/properties" ma:root="true" ma:fieldsID="e290daa90d30e7609d946101fd0434b1" ns2:_="" ns3:_="">
    <xsd:import namespace="49560598-7987-489a-ae1f-913916c919e4"/>
    <xsd:import namespace="0e73ed16-1a4b-498f-968f-ad98adbb936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DESC" minOccurs="0"/>
                <xsd:element ref="ns2:MediaServiceBillingMetadata" minOccurs="0"/>
                <xsd:element ref="ns2:ProjectDescrip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560598-7987-489a-ae1f-913916c919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9b11a912-522b-4dfd-b4c8-5b005298e30f"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DESC" ma:index="22" nillable="true" ma:displayName="DESC" ma:format="Dropdown" ma:internalName="DESC">
      <xsd:simpleType>
        <xsd:restriction base="dms:Note">
          <xsd:maxLength value="255"/>
        </xsd:restriction>
      </xsd:simpleType>
    </xsd:element>
    <xsd:element name="MediaServiceBillingMetadata" ma:index="23" nillable="true" ma:displayName="MediaServiceBillingMetadata" ma:hidden="true" ma:internalName="MediaServiceBillingMetadata" ma:readOnly="true">
      <xsd:simpleType>
        <xsd:restriction base="dms:Note"/>
      </xsd:simpleType>
    </xsd:element>
    <xsd:element name="ProjectDescription" ma:index="24" nillable="true" ma:displayName="Project Description" ma:format="Dropdown" ma:internalName="ProjectDescription">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e73ed16-1a4b-498f-968f-ad98adbb9369"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86cd5e88-da13-4ffd-abe3-6be85810c8a9}" ma:internalName="TaxCatchAll" ma:showField="CatchAllData" ma:web="0e73ed16-1a4b-498f-968f-ad98adbb93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e73ed16-1a4b-498f-968f-ad98adbb9369" xsi:nil="true"/>
    <lcf76f155ced4ddcb4097134ff3c332f xmlns="49560598-7987-489a-ae1f-913916c919e4">
      <Terms xmlns="http://schemas.microsoft.com/office/infopath/2007/PartnerControls"/>
    </lcf76f155ced4ddcb4097134ff3c332f>
    <DESC xmlns="49560598-7987-489a-ae1f-913916c919e4" xsi:nil="true"/>
    <ProjectDescription xmlns="49560598-7987-489a-ae1f-913916c919e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CDE0EFB-D4A8-4E4C-B4D0-2BE7AB5A1235}"/>
</file>

<file path=customXml/itemProps2.xml><?xml version="1.0" encoding="utf-8"?>
<ds:datastoreItem xmlns:ds="http://schemas.openxmlformats.org/officeDocument/2006/customXml" ds:itemID="{FF7B1FDF-BA76-4BC2-94C4-F0C9C1C70CA9}"/>
</file>

<file path=customXml/itemProps3.xml><?xml version="1.0" encoding="utf-8"?>
<ds:datastoreItem xmlns:ds="http://schemas.openxmlformats.org/officeDocument/2006/customXml" ds:itemID="{B7EC0C49-BBE2-4240-A3B8-2B7B0D7078DB}"/>
</file>

<file path=docMetadata/LabelInfo.xml><?xml version="1.0" encoding="utf-8"?>
<clbl:labelList xmlns:clbl="http://schemas.microsoft.com/office/2020/mipLabelMetadata">
  <clbl:label id="{87867195-f2b8-4ac2-b0b6-6bb73cb33af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Faycal AlAlami (MiddleEast)</dc:creator>
  <cp:keywords/>
  <dc:description/>
  <cp:lastModifiedBy/>
  <cp:revision/>
  <dcterms:created xsi:type="dcterms:W3CDTF">2025-03-10T11:13:03Z</dcterms:created>
  <dcterms:modified xsi:type="dcterms:W3CDTF">2026-02-23T15:49:08Z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0x0101003D250FAC2BE8574084F8643264E5C70D</vt:lpwstr>
  </property>
  <property fmtid="{D5CDD505-2E9C-101B-9397-08002B2CF9AE}" pid="3" name="MediaServiceImageTags">
    <vt:lpwstr/>
  </property>
</Properties>
</file>